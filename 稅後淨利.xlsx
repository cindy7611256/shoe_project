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960" firstSheet="6" activeTab="10"/>
  </bookViews>
  <sheets>
    <sheet name="寶成年增率" sheetId="1" r:id="rId1"/>
    <sheet name="寶成ROE.ROA" sheetId="3" r:id="rId2"/>
    <sheet name="豐泰企業年增率" sheetId="4" r:id="rId3"/>
    <sheet name="豐泰ROE.ROA" sheetId="2" r:id="rId4"/>
    <sheet name="鈺齊年增率" sheetId="5" r:id="rId5"/>
    <sheet name="鈺齊ROE.ROA" sheetId="7" r:id="rId6"/>
    <sheet name="百和年增率" sheetId="6" r:id="rId7"/>
    <sheet name="百和ROE.ROA" sheetId="8" r:id="rId8"/>
    <sheet name="寶成2025Q1資負" sheetId="9" r:id="rId9"/>
    <sheet name="寶成2025Q1損益" sheetId="10" r:id="rId10"/>
    <sheet name="寶成2025Q1現流"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<sst xmlns="http://schemas.openxmlformats.org/spreadsheetml/2006/main" count="415" uniqueCount="134">
  <si>
    <t>年度</t>
  </si>
  <si>
    <t>季度</t>
  </si>
  <si>
    <t>年增率/單季稅後淨利成長率</t>
  </si>
  <si>
    <t>年增率/近4季稅後淨利成長率</t>
  </si>
  <si>
    <t>ROE%</t>
  </si>
  <si>
    <t>ROA%</t>
  </si>
  <si>
    <t>年度營收</t>
  </si>
  <si>
    <t>年度稅後淨利</t>
  </si>
  <si>
    <t>淨利率</t>
  </si>
  <si>
    <t>Q1</t>
  </si>
  <si>
    <t>Q4</t>
  </si>
  <si>
    <t>Q3</t>
  </si>
  <si>
    <t>Q2</t>
  </si>
  <si>
    <t>年度ROE%</t>
  </si>
  <si>
    <t>年度ROA%</t>
  </si>
  <si>
    <t>年度淨利率</t>
  </si>
  <si>
    <t>類別</t>
  </si>
  <si>
    <t>項目名稱</t>
  </si>
  <si>
    <t>會計科目</t>
  </si>
  <si>
    <t>時間</t>
  </si>
  <si>
    <t>金額</t>
  </si>
  <si>
    <t>資產</t>
  </si>
  <si>
    <t>流動資產</t>
  </si>
  <si>
    <t>現金及約當現金</t>
  </si>
  <si>
    <t>透過損益按公允價值衡量之金融資產－流動</t>
  </si>
  <si>
    <t>透過其他綜合損益按公允價值衡量之金融資產－流動</t>
  </si>
  <si>
    <t>按攤銷後成本衡量之金融資產－流動</t>
  </si>
  <si>
    <t>應收票據</t>
  </si>
  <si>
    <t>應收帳款</t>
  </si>
  <si>
    <t>其他應收款</t>
  </si>
  <si>
    <t>本期所得稅資產</t>
  </si>
  <si>
    <t>存貨－製造及零批業</t>
  </si>
  <si>
    <t>存貨－建設業</t>
  </si>
  <si>
    <t>其他流動資產</t>
  </si>
  <si>
    <t>非流動資產</t>
  </si>
  <si>
    <t>透過損益按公允價值衡量之金融資產－非流動</t>
  </si>
  <si>
    <t>透過其他綜合損益按公允價值衡量之金融資產－非流動</t>
  </si>
  <si>
    <t>按攤銷後成本衡量之金融資產－非流動</t>
  </si>
  <si>
    <t>採用權益法之投資</t>
  </si>
  <si>
    <t>不動產、廠房及設備</t>
  </si>
  <si>
    <t>使用權資產</t>
  </si>
  <si>
    <t>投資性不動產</t>
  </si>
  <si>
    <t>商譽</t>
  </si>
  <si>
    <t>其他無形資產</t>
  </si>
  <si>
    <t>遞延所得稅資產</t>
  </si>
  <si>
    <t>其他非流動資產</t>
  </si>
  <si>
    <t>負債</t>
  </si>
  <si>
    <t>流動負債</t>
  </si>
  <si>
    <t>短期借款</t>
  </si>
  <si>
    <t>應付短期票券</t>
  </si>
  <si>
    <t>透過損益按公允價值衡量之金融負債－流動</t>
  </si>
  <si>
    <t>應付票據</t>
  </si>
  <si>
    <t>應付帳款</t>
  </si>
  <si>
    <t>其他應付款</t>
  </si>
  <si>
    <t>本期所得稅負債</t>
  </si>
  <si>
    <t>租賃負債－流動</t>
  </si>
  <si>
    <t>一年內到期之長期借款</t>
  </si>
  <si>
    <t>其他流動負債</t>
  </si>
  <si>
    <t>非流動負債</t>
  </si>
  <si>
    <t>長期借款</t>
  </si>
  <si>
    <t>遞延所得稅負債</t>
  </si>
  <si>
    <t>租賃負債－非流動</t>
  </si>
  <si>
    <t>長期應付款</t>
  </si>
  <si>
    <t>淨確定福利負債</t>
  </si>
  <si>
    <t>其他非流動負債</t>
  </si>
  <si>
    <t>權益</t>
  </si>
  <si>
    <t>股本</t>
  </si>
  <si>
    <t>普通股股本</t>
  </si>
  <si>
    <t>資本公積</t>
  </si>
  <si>
    <t>未分類</t>
  </si>
  <si>
    <t>保留盈餘</t>
  </si>
  <si>
    <t>法定盈餘公積</t>
  </si>
  <si>
    <t>特別盈餘公積</t>
  </si>
  <si>
    <t>未分配盈餘</t>
  </si>
  <si>
    <t>其他權益</t>
  </si>
  <si>
    <t>非控制權益</t>
  </si>
  <si>
    <t>銷貨收入</t>
  </si>
  <si>
    <t>銷貨成本</t>
  </si>
  <si>
    <t>營業費用</t>
  </si>
  <si>
    <t>推銷費用</t>
  </si>
  <si>
    <t>管理費用</t>
  </si>
  <si>
    <t>研究發展費用</t>
  </si>
  <si>
    <t>營業費用合計</t>
  </si>
  <si>
    <t>營業外費用</t>
  </si>
  <si>
    <t>利息收入</t>
  </si>
  <si>
    <t>其他收入</t>
  </si>
  <si>
    <t>其他利益及（損失）</t>
  </si>
  <si>
    <t>財務成本</t>
  </si>
  <si>
    <t>採用權益法認列之關聯企業及合資利益之份額企業及合資利益之份額</t>
  </si>
  <si>
    <t>所得稅費用</t>
  </si>
  <si>
    <t>營業活動</t>
  </si>
  <si>
    <t>本期稅前淨利</t>
  </si>
  <si>
    <t>折舊費用</t>
  </si>
  <si>
    <t>攤銷費用</t>
  </si>
  <si>
    <t>預期信用減損（迴轉利益）損失</t>
  </si>
  <si>
    <t>透過損益按公允價值衡量之金融商品淨利益</t>
  </si>
  <si>
    <t>股份基礎給付酬勞成本</t>
  </si>
  <si>
    <t>採用權益法認列之關聯企業及合資利益之份額</t>
  </si>
  <si>
    <t>處分及報廢不動產、廠房及設備淨損失</t>
  </si>
  <si>
    <t>處分關聯企業淨利益</t>
  </si>
  <si>
    <t>強制透過損益按公允價值衡量之金融資產</t>
  </si>
  <si>
    <t>存 
  貨</t>
  </si>
  <si>
    <t>其他營業資產</t>
  </si>
  <si>
    <t>其他營業負債</t>
  </si>
  <si>
    <t>營運產生之現金流（出）入</t>
  </si>
  <si>
    <t>支付之利息</t>
  </si>
  <si>
    <t>支付之所得稅</t>
  </si>
  <si>
    <t>營業活動之淨現金流出</t>
  </si>
  <si>
    <t>投資活動</t>
  </si>
  <si>
    <t>之金融資產減資退回股款</t>
  </si>
  <si>
    <t>取得按攤銷後成本衡量之金融資產</t>
  </si>
  <si>
    <t>處分按攤銷後成本衡量之金融資產</t>
  </si>
  <si>
    <t>處分採用權益法之投資</t>
  </si>
  <si>
    <t>取得不動產、廠房及設備</t>
  </si>
  <si>
    <t>處分不動產、廠房及設備</t>
  </si>
  <si>
    <t>存出保證金增加</t>
  </si>
  <si>
    <t>取得無形資產</t>
  </si>
  <si>
    <t>取得使用權資產</t>
  </si>
  <si>
    <t>預付設備款及長期預付款增加</t>
  </si>
  <si>
    <t>收取之利息</t>
  </si>
  <si>
    <t>投資活動之淨現金流（出）入</t>
  </si>
  <si>
    <t>籌資活動</t>
  </si>
  <si>
    <t>短期借款增加</t>
  </si>
  <si>
    <t>應付短期票券減少</t>
  </si>
  <si>
    <t>舉借長期借款</t>
  </si>
  <si>
    <t>存入保證金增加</t>
  </si>
  <si>
    <t>租賃負債本金償還</t>
  </si>
  <si>
    <t>非控制權益變動</t>
  </si>
  <si>
    <t>股東逾時效未領股利</t>
  </si>
  <si>
    <t>籌資活動之淨現金流入</t>
  </si>
  <si>
    <t>匯率變動對現金及約當現金之影響</t>
  </si>
  <si>
    <t>本期現金及約當現金（減少）增加數</t>
  </si>
  <si>
    <t>期初現金及約當現金餘額</t>
  </si>
  <si>
    <t>期末現金及約當現金餘額</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</si>
</sst>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3" formatCode="_-* #,##0.00_-;\-* #,##0.00_-;_-* &quot;-&quot;??_-;_-@_-"/>
    <numFmt numFmtId="176" formatCode="_-&quot;NT$&quot;* #,##0.00_-;\-&quot;NT$&quot;* #,##0.00_-;_-&quot;NT$&quot;* &quot;-&quot;??_-;_-@_-"/>
    <numFmt numFmtId="177" formatCode="_-&quot;NT$&quot;* #,##0_-;\-&quot;NT$&quot;* #,##0_-;_-&quot;NT$&quot;* &quot;-&quot;_-;_-@_-"/>
    <numFmt numFmtId="178" formatCode="_-* #,##0_-;\-* #,##0_-;_-* &quot;-&quot;??_-;_-@_-"/>
    <numFmt numFmtId="179" formatCode="&quot;NT$&quot;#,##0;[Red]\-&quot;NT$&quot;#,##0"/>
  </numFmts>
  <fonts count="24">
    <font>
      <sz val="11"/>
      <color theme="1"/>
      <name val="Calibri"/>
      <charset val="134"/>
      <scheme val="minor"/>
    </font>
    <font>
      <b/>
      <sz val="11"/>
      <color theme="1"/>
      <name val="Calibri"/>
      <charset val="134"/>
      <scheme val="minor"/>
    </font>
    <font>
      <sz val="11"/>
      <color rgb="FF6C757D"/>
      <name val="Arial"/>
      <charset val="134"/>
    </font>
    <font>
      <sz val="11"/>
      <color rgb="FF343A40"/>
      <name val="Tahoma"/>
      <charset val="134"/>
    </font>
    <font>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medium">
        <color rgb="FFE9ECEF"/>
      </right>
      <top/>
      <bottom/>
      <diagonal/>
    </border>
    <border>
      <left/>
      <right style="medium">
        <color rgb="FFDEE2E6"/>
      </right>
      <top/>
      <bottom/>
      <diagonal/>
    </border>
    <border>
      <left/>
      <right style="medium">
        <color rgb="FFE9ECEF"/>
      </right>
      <top/>
      <bottom style="medium">
        <color rgb="FFDEE2E6"/>
      </bottom>
      <diagonal/>
    </border>
    <border>
      <left/>
      <right style="medium">
        <color rgb="FFDEE2E6"/>
      </right>
      <top/>
      <bottom style="medium">
        <color rgb="FFDEE2E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176" fontId="4" fillId="0" borderId="0" applyFont="0" applyFill="0" applyBorder="0" applyAlignment="0" applyProtection="0">
      <alignment vertical="center"/>
    </xf>
    <xf numFmtId="9" fontId="0" fillId="0" borderId="0" applyFont="0" applyFill="0" applyBorder="0" applyAlignment="0" applyProtection="0">
      <alignment vertical="center"/>
    </xf>
    <xf numFmtId="41" fontId="4" fillId="0" borderId="0" applyFont="0" applyFill="0" applyBorder="0" applyAlignment="0" applyProtection="0">
      <alignment vertical="center"/>
    </xf>
    <xf numFmtId="177"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7" applyNumberFormat="0" applyFill="0" applyAlignment="0" applyProtection="0">
      <alignment vertical="center"/>
    </xf>
    <xf numFmtId="0" fontId="11" fillId="0" borderId="7"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3" fillId="4" borderId="9" applyNumberFormat="0" applyAlignment="0" applyProtection="0">
      <alignment vertical="center"/>
    </xf>
    <xf numFmtId="0" fontId="14" fillId="5" borderId="10" applyNumberFormat="0" applyAlignment="0" applyProtection="0">
      <alignment vertical="center"/>
    </xf>
    <xf numFmtId="0" fontId="15" fillId="5" borderId="9" applyNumberFormat="0" applyAlignment="0" applyProtection="0">
      <alignment vertical="center"/>
    </xf>
    <xf numFmtId="0" fontId="16" fillId="6" borderId="11" applyNumberFormat="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6">
    <xf numFmtId="0" fontId="0" fillId="0" borderId="0" xfId="0"/>
    <xf numFmtId="0" fontId="1" fillId="0" borderId="1" xfId="0" applyFont="1" applyFill="1" applyBorder="1" applyAlignment="1">
      <alignment horizontal="center" vertical="top"/>
    </xf>
    <xf numFmtId="178" fontId="1" fillId="0" borderId="1" xfId="1" applyNumberFormat="1" applyFont="1" applyBorder="1" applyAlignment="1">
      <alignment horizontal="center" vertical="top"/>
    </xf>
    <xf numFmtId="0" fontId="0" fillId="0" borderId="0" xfId="0" applyFont="1" applyFill="1" applyAlignment="1"/>
    <xf numFmtId="14" fontId="0" fillId="0" borderId="0" xfId="0" applyNumberFormat="1" applyFont="1" applyFill="1" applyAlignment="1"/>
    <xf numFmtId="3" fontId="0" fillId="0" borderId="0" xfId="0" applyNumberFormat="1" applyFont="1" applyFill="1" applyAlignment="1"/>
    <xf numFmtId="3" fontId="0" fillId="0" borderId="0" xfId="0" applyNumberFormat="1" applyFont="1" applyFill="1" applyAlignment="1">
      <alignment wrapText="1"/>
    </xf>
    <xf numFmtId="0" fontId="0" fillId="0" borderId="0" xfId="0" applyNumberFormat="1" applyFont="1" applyFill="1" applyAlignment="1"/>
    <xf numFmtId="178" fontId="0" fillId="0" borderId="0" xfId="1" applyNumberFormat="1" applyFont="1" applyAlignment="1"/>
    <xf numFmtId="3" fontId="0" fillId="0" borderId="0" xfId="1" applyNumberFormat="1" applyFont="1" applyAlignment="1"/>
    <xf numFmtId="179" fontId="0" fillId="0" borderId="0" xfId="0" applyNumberFormat="1" applyFont="1" applyFill="1" applyAlignment="1"/>
    <xf numFmtId="0" fontId="2" fillId="0" borderId="0" xfId="0" applyFont="1" applyAlignment="1">
      <alignment horizontal="center" vertical="top" wrapText="1"/>
    </xf>
    <xf numFmtId="10" fontId="0" fillId="0" borderId="0" xfId="3" applyNumberFormat="1" applyFont="1" applyFill="1" applyBorder="1" applyAlignment="1"/>
    <xf numFmtId="0" fontId="3" fillId="0" borderId="0" xfId="0" applyFont="1" applyAlignment="1">
      <alignment horizontal="center" vertical="top" wrapText="1"/>
    </xf>
    <xf numFmtId="0" fontId="3" fillId="0" borderId="0" xfId="0" applyFont="1" applyAlignment="1">
      <alignment vertical="top" wrapText="1"/>
    </xf>
    <xf numFmtId="10" fontId="0" fillId="0" borderId="0" xfId="0" applyNumberFormat="1"/>
    <xf numFmtId="10" fontId="0" fillId="0" borderId="0" xfId="3" applyNumberFormat="1" applyFont="1" applyAlignment="1"/>
    <xf numFmtId="3" fontId="3" fillId="2" borderId="2" xfId="0" applyNumberFormat="1" applyFont="1" applyFill="1" applyBorder="1" applyAlignment="1">
      <alignment vertical="top" wrapText="1"/>
    </xf>
    <xf numFmtId="3" fontId="3" fillId="2" borderId="3" xfId="0" applyNumberFormat="1" applyFont="1" applyFill="1" applyBorder="1" applyAlignment="1">
      <alignment vertical="top" wrapText="1"/>
    </xf>
    <xf numFmtId="3" fontId="3" fillId="2" borderId="4" xfId="0" applyNumberFormat="1" applyFont="1" applyFill="1" applyBorder="1" applyAlignment="1">
      <alignment vertical="top" wrapText="1"/>
    </xf>
    <xf numFmtId="3" fontId="3" fillId="2" borderId="5" xfId="0" applyNumberFormat="1" applyFont="1" applyFill="1" applyBorder="1" applyAlignment="1">
      <alignment vertical="top" wrapText="1"/>
    </xf>
    <xf numFmtId="10" fontId="3" fillId="0" borderId="0" xfId="3" applyNumberFormat="1" applyFont="1" applyFill="1" applyBorder="1" applyAlignment="1">
      <alignment vertical="top" wrapText="1"/>
    </xf>
    <xf numFmtId="10" fontId="3" fillId="0" borderId="0" xfId="0" applyNumberFormat="1" applyFont="1" applyAlignment="1">
      <alignment vertical="top" wrapText="1"/>
    </xf>
    <xf numFmtId="0" fontId="3" fillId="0" borderId="0" xfId="0" applyFont="1" applyFill="1" applyBorder="1" applyAlignment="1">
      <alignment vertical="top" wrapText="1"/>
    </xf>
    <xf numFmtId="3" fontId="3" fillId="0" borderId="0" xfId="0" applyNumberFormat="1" applyFont="1" applyFill="1" applyBorder="1" applyAlignment="1">
      <alignment vertical="top" wrapText="1"/>
    </xf>
    <xf numFmtId="0" fontId="0" fillId="0" borderId="0" xfId="0" applyFill="1" applyBorder="1"/>
  </cellXfs>
  <cellStyles count="49">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8"/>
  <sheetViews>
    <sheetView workbookViewId="0">
      <pane xSplit="1" topLeftCell="B1" activePane="topRight" state="frozen"/>
      <selection/>
      <selection pane="topRight" activeCell="H24" sqref="H24"/>
    </sheetView>
  </sheetViews>
  <sheetFormatPr defaultColWidth="9" defaultRowHeight="14.5"/>
  <cols>
    <col min="4" max="6" width="11.8545454545455" customWidth="1"/>
    <col min="7" max="7" width="11.2818181818182" customWidth="1"/>
    <col min="8" max="10" width="12.2818181818182" style="16" customWidth="1"/>
    <col min="11" max="12" width="12.5727272727273" customWidth="1"/>
    <col min="13" max="13" width="12" customWidth="1"/>
    <col min="14" max="14" width="11.2818181818182" customWidth="1"/>
    <col min="15" max="15" width="12" customWidth="1"/>
    <col min="16" max="16" width="10.7090909090909" customWidth="1"/>
  </cols>
  <sheetData>
    <row r="1" spans="1:10">
      <c r="A1" t="s">
        <v>0</v>
      </c>
      <c r="B1" t="s">
        <v>1</v>
      </c>
      <c r="C1" s="12" t="s">
        <v>2</v>
      </c>
      <c r="D1" s="12" t="s">
        <v>3</v>
      </c>
      <c r="E1" s="12" t="s">
        <v>4</v>
      </c>
      <c r="F1" s="12" t="s">
        <v>5</v>
      </c>
      <c r="G1" s="12" t="s">
        <v>6</v>
      </c>
      <c r="H1" s="12" t="s">
        <v>7</v>
      </c>
      <c r="I1" s="12" t="s">
        <v>8</v>
      </c>
      <c r="J1"/>
    </row>
    <row r="2" spans="1:18">
      <c r="A2">
        <v>2025</v>
      </c>
      <c r="B2" t="s">
        <v>9</v>
      </c>
      <c r="C2" s="14">
        <v>-22.6</v>
      </c>
      <c r="D2" s="14">
        <v>8.23</v>
      </c>
      <c r="E2" s="14">
        <v>2.23</v>
      </c>
      <c r="F2" s="23">
        <v>1.41</v>
      </c>
      <c r="G2" s="24">
        <v>67030257</v>
      </c>
      <c r="H2" s="24">
        <v>5036353</v>
      </c>
      <c r="I2" s="21">
        <f>H2/G2</f>
        <v>0.0751355167860985</v>
      </c>
      <c r="J2" s="14"/>
      <c r="K2" s="14"/>
      <c r="L2" s="14"/>
      <c r="M2" s="14"/>
      <c r="N2" s="14"/>
      <c r="O2" s="14"/>
      <c r="P2" s="14"/>
      <c r="Q2" s="14"/>
      <c r="R2" s="14"/>
    </row>
    <row r="3" spans="1:18">
      <c r="A3">
        <v>2024</v>
      </c>
      <c r="B3" t="s">
        <v>10</v>
      </c>
      <c r="C3" s="14">
        <v>44.06</v>
      </c>
      <c r="D3" s="14">
        <v>46.72</v>
      </c>
      <c r="E3" s="14">
        <v>1.68</v>
      </c>
      <c r="F3" s="23">
        <v>1.06</v>
      </c>
      <c r="G3" s="24">
        <v>68397788</v>
      </c>
      <c r="H3" s="24">
        <v>3762504</v>
      </c>
      <c r="I3" s="21">
        <f t="shared" ref="I3:I22" si="0">H3/G3</f>
        <v>0.0550091473718419</v>
      </c>
      <c r="J3" s="14"/>
      <c r="K3" s="14"/>
      <c r="L3" s="14"/>
      <c r="M3" s="14"/>
      <c r="N3" s="14"/>
      <c r="O3" s="14"/>
      <c r="P3" s="14"/>
      <c r="Q3" s="14"/>
      <c r="R3" s="14"/>
    </row>
    <row r="4" spans="1:18">
      <c r="A4">
        <v>2024</v>
      </c>
      <c r="B4" t="s">
        <v>11</v>
      </c>
      <c r="C4" s="14">
        <v>16.51</v>
      </c>
      <c r="D4" s="14">
        <v>103.43</v>
      </c>
      <c r="E4" s="14">
        <v>3.69</v>
      </c>
      <c r="F4" s="23">
        <v>2.3</v>
      </c>
      <c r="G4" s="24">
        <v>66803825</v>
      </c>
      <c r="H4" s="24">
        <v>8145754</v>
      </c>
      <c r="I4" s="21">
        <f t="shared" si="0"/>
        <v>0.121935443067818</v>
      </c>
      <c r="J4" s="14"/>
      <c r="K4" s="14"/>
      <c r="L4" s="14"/>
      <c r="M4" s="14"/>
      <c r="N4" s="14"/>
      <c r="O4" s="14"/>
      <c r="P4" s="14"/>
      <c r="Q4" s="14"/>
      <c r="R4" s="14"/>
    </row>
    <row r="5" spans="1:18">
      <c r="A5">
        <v>2024</v>
      </c>
      <c r="B5" t="s">
        <v>12</v>
      </c>
      <c r="C5" s="14">
        <v>19.97</v>
      </c>
      <c r="D5" s="14">
        <v>90.1</v>
      </c>
      <c r="E5" s="14">
        <v>2.31</v>
      </c>
      <c r="F5" s="23">
        <v>1.44</v>
      </c>
      <c r="G5" s="24">
        <v>65327340</v>
      </c>
      <c r="H5" s="24">
        <v>5020804</v>
      </c>
      <c r="I5" s="21">
        <f t="shared" si="0"/>
        <v>0.0768560911863241</v>
      </c>
      <c r="J5" s="14"/>
      <c r="K5" s="14"/>
      <c r="L5" s="14"/>
      <c r="M5" s="14"/>
      <c r="N5" s="14"/>
      <c r="O5" s="14"/>
      <c r="P5" s="14"/>
      <c r="Q5" s="14"/>
      <c r="R5" s="14"/>
    </row>
    <row r="6" spans="1:18">
      <c r="A6">
        <v>2024</v>
      </c>
      <c r="B6" t="s">
        <v>9</v>
      </c>
      <c r="C6" s="14">
        <v>197.8</v>
      </c>
      <c r="D6" s="14">
        <v>56.1</v>
      </c>
      <c r="E6" s="14">
        <v>3.11</v>
      </c>
      <c r="F6" s="23">
        <v>1.93</v>
      </c>
      <c r="G6" s="24">
        <v>63288874</v>
      </c>
      <c r="H6" s="24">
        <v>6506840</v>
      </c>
      <c r="I6" s="21">
        <f t="shared" si="0"/>
        <v>0.102811751714843</v>
      </c>
      <c r="J6" s="14"/>
      <c r="K6" s="14"/>
      <c r="L6" s="14"/>
      <c r="M6" s="14"/>
      <c r="N6" s="14"/>
      <c r="O6" s="14"/>
      <c r="P6" s="14"/>
      <c r="Q6" s="14"/>
      <c r="R6" s="14"/>
    </row>
    <row r="7" spans="1:18">
      <c r="A7">
        <v>2023</v>
      </c>
      <c r="B7" t="s">
        <v>10</v>
      </c>
      <c r="C7" s="14">
        <v>-208.52</v>
      </c>
      <c r="D7" s="14">
        <v>-5.42</v>
      </c>
      <c r="E7" s="14">
        <v>1.3</v>
      </c>
      <c r="F7" s="23">
        <v>0.78</v>
      </c>
      <c r="G7" s="24">
        <v>60875744</v>
      </c>
      <c r="H7" s="24">
        <v>2611804</v>
      </c>
      <c r="I7" s="21">
        <f t="shared" si="0"/>
        <v>0.0429038534625548</v>
      </c>
      <c r="J7" s="14"/>
      <c r="K7" s="14"/>
      <c r="L7" s="14"/>
      <c r="M7" s="14"/>
      <c r="N7" s="14"/>
      <c r="O7" s="14"/>
      <c r="P7" s="14"/>
      <c r="Q7" s="14"/>
      <c r="R7" s="14"/>
    </row>
    <row r="8" spans="1:18">
      <c r="A8">
        <v>2023</v>
      </c>
      <c r="B8" t="s">
        <v>11</v>
      </c>
      <c r="C8" s="14">
        <v>-2.25</v>
      </c>
      <c r="D8" s="14">
        <v>-47.54</v>
      </c>
      <c r="E8" s="14">
        <v>3.58</v>
      </c>
      <c r="F8" s="23">
        <v>2.11</v>
      </c>
      <c r="G8" s="24">
        <v>58295948</v>
      </c>
      <c r="H8" s="24">
        <v>6991563</v>
      </c>
      <c r="I8" s="21">
        <f t="shared" si="0"/>
        <v>0.119932229252023</v>
      </c>
      <c r="J8" s="14"/>
      <c r="K8" s="14"/>
      <c r="L8" s="14"/>
      <c r="M8" s="14"/>
      <c r="N8" s="14"/>
      <c r="O8" s="14"/>
      <c r="P8" s="14"/>
      <c r="Q8" s="14"/>
      <c r="R8" s="14"/>
    </row>
    <row r="9" spans="1:18">
      <c r="A9">
        <v>2023</v>
      </c>
      <c r="B9" t="s">
        <v>12</v>
      </c>
      <c r="C9" s="14">
        <v>-31.07</v>
      </c>
      <c r="D9" s="14">
        <v>-27.33</v>
      </c>
      <c r="E9" s="14">
        <v>2.2</v>
      </c>
      <c r="F9" s="23">
        <v>1.29</v>
      </c>
      <c r="G9" s="24">
        <v>63095229</v>
      </c>
      <c r="H9" s="24">
        <v>4185131</v>
      </c>
      <c r="I9" s="21">
        <f t="shared" si="0"/>
        <v>0.0663303876747955</v>
      </c>
      <c r="J9" s="14"/>
      <c r="K9" s="14"/>
      <c r="L9" s="14"/>
      <c r="M9" s="14"/>
      <c r="N9" s="14"/>
      <c r="O9" s="14"/>
      <c r="P9" s="14"/>
      <c r="Q9" s="14"/>
      <c r="R9" s="14"/>
    </row>
    <row r="10" spans="1:18">
      <c r="A10">
        <v>2023</v>
      </c>
      <c r="B10" t="s">
        <v>9</v>
      </c>
      <c r="C10" s="14">
        <v>-64.02</v>
      </c>
      <c r="D10" s="14">
        <v>-10.65</v>
      </c>
      <c r="E10" s="14">
        <v>1.18</v>
      </c>
      <c r="F10" s="23">
        <v>0.67</v>
      </c>
      <c r="G10" s="24">
        <v>64366793</v>
      </c>
      <c r="H10" s="24">
        <v>2184983</v>
      </c>
      <c r="I10" s="21">
        <f t="shared" si="0"/>
        <v>0.033945811157626</v>
      </c>
      <c r="J10" s="14"/>
      <c r="K10" s="14"/>
      <c r="L10" s="14"/>
      <c r="M10" s="14"/>
      <c r="N10" s="14"/>
      <c r="O10" s="14"/>
      <c r="P10" s="14"/>
      <c r="Q10" s="14"/>
      <c r="R10" s="14"/>
    </row>
    <row r="11" spans="1:18">
      <c r="A11">
        <v>2022</v>
      </c>
      <c r="B11" t="s">
        <v>10</v>
      </c>
      <c r="C11" s="14">
        <v>-251.54</v>
      </c>
      <c r="D11" s="14">
        <v>1.72</v>
      </c>
      <c r="E11" s="14">
        <v>-1.45</v>
      </c>
      <c r="F11" s="23">
        <v>-0.75</v>
      </c>
      <c r="G11" s="24">
        <v>62919855</v>
      </c>
      <c r="H11" s="24">
        <v>-2406712</v>
      </c>
      <c r="I11" s="21">
        <f t="shared" si="0"/>
        <v>-0.0382504377990064</v>
      </c>
      <c r="J11" s="14"/>
      <c r="K11" s="14"/>
      <c r="L11" s="14"/>
      <c r="M11" s="14"/>
      <c r="N11" s="14"/>
      <c r="O11" s="14"/>
      <c r="P11" s="14"/>
      <c r="Q11" s="14"/>
      <c r="R11" s="14"/>
    </row>
    <row r="12" spans="1:18">
      <c r="A12">
        <v>2022</v>
      </c>
      <c r="B12" t="s">
        <v>11</v>
      </c>
      <c r="C12" s="14">
        <v>357.63</v>
      </c>
      <c r="D12" s="14">
        <v>23.2</v>
      </c>
      <c r="E12" s="14">
        <v>4.94</v>
      </c>
      <c r="F12" s="23">
        <v>2.28</v>
      </c>
      <c r="G12" s="24">
        <v>68975710</v>
      </c>
      <c r="H12" s="24">
        <v>7152181</v>
      </c>
      <c r="I12" s="21">
        <f t="shared" si="0"/>
        <v>0.103691299444399</v>
      </c>
      <c r="J12" s="14"/>
      <c r="K12" s="14"/>
      <c r="L12" s="14"/>
      <c r="M12" s="14"/>
      <c r="N12" s="14"/>
      <c r="O12" s="14"/>
      <c r="P12" s="14"/>
      <c r="Q12" s="14"/>
      <c r="R12" s="14"/>
    </row>
    <row r="13" spans="1:18">
      <c r="A13">
        <v>2022</v>
      </c>
      <c r="B13" t="s">
        <v>12</v>
      </c>
      <c r="C13" s="14">
        <v>13.97</v>
      </c>
      <c r="D13" s="14">
        <v>-18.31</v>
      </c>
      <c r="E13" s="14">
        <v>3.73</v>
      </c>
      <c r="F13" s="23">
        <v>1.85</v>
      </c>
      <c r="G13" s="24">
        <v>68337874</v>
      </c>
      <c r="H13" s="24">
        <v>6071210</v>
      </c>
      <c r="I13" s="21">
        <f t="shared" si="0"/>
        <v>0.0888410722288493</v>
      </c>
      <c r="J13" s="14"/>
      <c r="K13" s="14"/>
      <c r="L13" s="14"/>
      <c r="M13" s="14"/>
      <c r="N13" s="14"/>
      <c r="O13" s="14"/>
      <c r="P13" s="14"/>
      <c r="Q13" s="14"/>
      <c r="R13" s="14"/>
    </row>
    <row r="14" spans="1:18">
      <c r="A14">
        <v>2022</v>
      </c>
      <c r="B14" t="s">
        <v>9</v>
      </c>
      <c r="C14" s="14">
        <v>-25.26</v>
      </c>
      <c r="D14" s="14">
        <v>21.64</v>
      </c>
      <c r="E14" s="14">
        <v>3.09</v>
      </c>
      <c r="F14" s="23">
        <v>1.7</v>
      </c>
      <c r="G14" s="24">
        <v>67263361</v>
      </c>
      <c r="H14" s="24">
        <v>6072787</v>
      </c>
      <c r="I14" s="21">
        <f t="shared" si="0"/>
        <v>0.0902837281651745</v>
      </c>
      <c r="J14" s="14"/>
      <c r="K14" s="14"/>
      <c r="L14" s="14"/>
      <c r="M14" s="14"/>
      <c r="N14" s="14"/>
      <c r="O14" s="14"/>
      <c r="P14" s="14"/>
      <c r="Q14" s="14"/>
      <c r="R14" s="14"/>
    </row>
    <row r="15" spans="1:18">
      <c r="A15">
        <v>2021</v>
      </c>
      <c r="B15" t="s">
        <v>10</v>
      </c>
      <c r="C15" s="14">
        <v>-17.98</v>
      </c>
      <c r="D15" s="14">
        <v>323.62</v>
      </c>
      <c r="E15" s="14">
        <v>0.78</v>
      </c>
      <c r="F15" s="23">
        <v>0.44</v>
      </c>
      <c r="G15" s="24">
        <v>58461002</v>
      </c>
      <c r="H15" s="24">
        <v>1588158</v>
      </c>
      <c r="I15" s="21">
        <f t="shared" si="0"/>
        <v>0.0271661098111182</v>
      </c>
      <c r="J15" s="14"/>
      <c r="K15" s="14"/>
      <c r="L15" s="14"/>
      <c r="M15" s="14"/>
      <c r="N15" s="14"/>
      <c r="O15" s="14"/>
      <c r="P15" s="14"/>
      <c r="Q15" s="14"/>
      <c r="R15" s="14"/>
    </row>
    <row r="16" spans="1:18">
      <c r="A16">
        <v>2021</v>
      </c>
      <c r="B16" t="s">
        <v>11</v>
      </c>
      <c r="C16" s="14">
        <v>-53.12</v>
      </c>
      <c r="D16" s="14">
        <v>334.98</v>
      </c>
      <c r="E16" s="14">
        <v>0.78</v>
      </c>
      <c r="F16" s="23">
        <v>0.43</v>
      </c>
      <c r="G16" s="24">
        <v>45631214</v>
      </c>
      <c r="H16" s="24">
        <v>1562873</v>
      </c>
      <c r="I16" s="21">
        <f t="shared" si="0"/>
        <v>0.0342500859170655</v>
      </c>
      <c r="J16" s="14"/>
      <c r="K16" s="14"/>
      <c r="L16" s="14"/>
      <c r="M16" s="14"/>
      <c r="N16" s="14"/>
      <c r="O16" s="14"/>
      <c r="P16" s="14"/>
      <c r="Q16" s="14"/>
      <c r="R16" s="14"/>
    </row>
    <row r="17" spans="1:18">
      <c r="A17">
        <v>2021</v>
      </c>
      <c r="B17" t="s">
        <v>12</v>
      </c>
      <c r="C17" s="14">
        <v>-471.72</v>
      </c>
      <c r="D17" s="14">
        <v>198.65</v>
      </c>
      <c r="E17" s="14">
        <v>2.72</v>
      </c>
      <c r="F17" s="23">
        <v>1.47</v>
      </c>
      <c r="G17" s="24">
        <v>64897672</v>
      </c>
      <c r="H17" s="24">
        <v>5327157</v>
      </c>
      <c r="I17" s="21">
        <f t="shared" si="0"/>
        <v>0.0820854868260914</v>
      </c>
      <c r="J17" s="14"/>
      <c r="K17" s="14"/>
      <c r="L17" s="14"/>
      <c r="M17" s="14"/>
      <c r="N17" s="14"/>
      <c r="O17" s="14"/>
      <c r="P17" s="14"/>
      <c r="Q17" s="14"/>
      <c r="R17" s="14"/>
    </row>
    <row r="18" spans="1:18">
      <c r="A18">
        <v>2021</v>
      </c>
      <c r="B18" t="s">
        <v>9</v>
      </c>
      <c r="C18" s="14">
        <v>9783.78</v>
      </c>
      <c r="D18" s="14">
        <v>-12.32</v>
      </c>
      <c r="E18" s="14">
        <v>4.15</v>
      </c>
      <c r="F18" s="23">
        <v>2.23</v>
      </c>
      <c r="G18" s="24">
        <v>70894521</v>
      </c>
      <c r="H18" s="24">
        <v>8125255</v>
      </c>
      <c r="I18" s="21">
        <f t="shared" si="0"/>
        <v>0.114610478854917</v>
      </c>
      <c r="J18" s="14"/>
      <c r="K18" s="14"/>
      <c r="L18" s="14"/>
      <c r="M18" s="14"/>
      <c r="N18" s="14"/>
      <c r="O18" s="14"/>
      <c r="P18" s="14"/>
      <c r="Q18" s="14"/>
      <c r="R18" s="14"/>
    </row>
    <row r="19" spans="1:18">
      <c r="A19">
        <v>2020</v>
      </c>
      <c r="B19" t="s">
        <v>10</v>
      </c>
      <c r="C19" s="14">
        <v>1.17</v>
      </c>
      <c r="D19" s="14">
        <v>-78.23</v>
      </c>
      <c r="E19" s="14">
        <v>1</v>
      </c>
      <c r="F19" s="23">
        <v>0.54</v>
      </c>
      <c r="G19" s="24">
        <v>67982702</v>
      </c>
      <c r="H19" s="24">
        <v>1936262</v>
      </c>
      <c r="I19" s="21">
        <f t="shared" si="0"/>
        <v>0.0284816864148765</v>
      </c>
      <c r="J19" s="14"/>
      <c r="K19" s="14"/>
      <c r="L19" s="14"/>
      <c r="M19" s="14"/>
      <c r="N19" s="14"/>
      <c r="O19" s="14"/>
      <c r="P19" s="14"/>
      <c r="Q19" s="14"/>
      <c r="R19" s="14"/>
    </row>
    <row r="20" spans="1:18">
      <c r="A20">
        <v>2020</v>
      </c>
      <c r="B20" t="s">
        <v>11</v>
      </c>
      <c r="C20" s="14">
        <v>-41.57</v>
      </c>
      <c r="D20" s="14">
        <v>-80.68</v>
      </c>
      <c r="E20" s="14">
        <v>1.8</v>
      </c>
      <c r="F20" s="23">
        <v>0.94</v>
      </c>
      <c r="G20" s="24">
        <v>59112964</v>
      </c>
      <c r="H20" s="24">
        <v>3334043</v>
      </c>
      <c r="I20" s="21">
        <f t="shared" si="0"/>
        <v>0.0564012151378503</v>
      </c>
      <c r="J20" s="14"/>
      <c r="K20" s="14"/>
      <c r="L20" s="14"/>
      <c r="M20" s="14"/>
      <c r="N20" s="14"/>
      <c r="O20" s="14"/>
      <c r="P20" s="14"/>
      <c r="Q20" s="14"/>
      <c r="R20" s="14"/>
    </row>
    <row r="21" spans="1:18">
      <c r="A21">
        <v>2020</v>
      </c>
      <c r="B21" t="s">
        <v>12</v>
      </c>
      <c r="C21" s="14">
        <v>-124.12</v>
      </c>
      <c r="D21" s="14">
        <v>-67.16</v>
      </c>
      <c r="E21" s="14">
        <v>-0.81</v>
      </c>
      <c r="F21" s="23">
        <v>-0.41</v>
      </c>
      <c r="G21" s="24">
        <v>63410225</v>
      </c>
      <c r="H21" s="24">
        <v>-1433096</v>
      </c>
      <c r="I21" s="21">
        <f t="shared" si="0"/>
        <v>-0.0226003929177037</v>
      </c>
      <c r="J21" s="14"/>
      <c r="K21" s="14"/>
      <c r="L21" s="14"/>
      <c r="M21" s="14"/>
      <c r="N21" s="14"/>
      <c r="O21" s="14"/>
      <c r="P21" s="14"/>
      <c r="Q21" s="14"/>
      <c r="R21" s="14"/>
    </row>
    <row r="22" spans="1:18">
      <c r="A22">
        <v>2020</v>
      </c>
      <c r="B22" t="s">
        <v>9</v>
      </c>
      <c r="C22" s="14">
        <v>-98.15</v>
      </c>
      <c r="D22" s="14">
        <v>-20.12</v>
      </c>
      <c r="E22" s="14">
        <v>0.05</v>
      </c>
      <c r="F22" s="23">
        <v>0.02</v>
      </c>
      <c r="G22" s="24">
        <v>59448420</v>
      </c>
      <c r="H22" s="24">
        <v>82208</v>
      </c>
      <c r="I22" s="21">
        <f t="shared" si="0"/>
        <v>0.00138284583509536</v>
      </c>
      <c r="J22" s="14"/>
      <c r="K22" s="14"/>
      <c r="L22" s="14"/>
      <c r="M22" s="14"/>
      <c r="N22" s="14"/>
      <c r="O22" s="14"/>
      <c r="P22" s="14"/>
      <c r="Q22" s="14"/>
      <c r="R22" s="14"/>
    </row>
    <row r="23" spans="6:9">
      <c r="F23" s="25"/>
      <c r="G23" s="25"/>
      <c r="H23" s="12"/>
      <c r="I23" s="12"/>
    </row>
    <row r="25" spans="10:10">
      <c r="J25"/>
    </row>
    <row r="26" spans="8:10">
      <c r="H26"/>
      <c r="I26"/>
      <c r="J26"/>
    </row>
    <row r="27" spans="8:10">
      <c r="H27"/>
      <c r="I27"/>
      <c r="J27"/>
    </row>
    <row r="28" spans="8:10">
      <c r="H28"/>
      <c r="I28"/>
      <c r="J28"/>
    </row>
    <row r="29" spans="8:10">
      <c r="H29"/>
      <c r="I29"/>
      <c r="J29"/>
    </row>
    <row r="30" spans="8:10">
      <c r="H30"/>
      <c r="I30"/>
      <c r="J30"/>
    </row>
    <row r="31" spans="8:10">
      <c r="H31"/>
      <c r="I31"/>
      <c r="J31"/>
    </row>
    <row r="32" spans="8:10">
      <c r="H32"/>
      <c r="I32"/>
      <c r="J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D9" sqref="D9"/>
    </sheetView>
  </sheetViews>
  <sheetFormatPr defaultColWidth="9" defaultRowHeight="14.5" outlineLevelRow="6" outlineLevelCol="5"/>
  <cols>
    <col min="4" max="4" width="12.7090909090909" customWidth="1"/>
  </cols>
  <sheetData>
    <row r="1" ht="28" spans="1:6">
      <c r="A1" s="11" t="s">
        <v>0</v>
      </c>
      <c r="B1" s="11" t="s">
        <v>13</v>
      </c>
      <c r="C1" s="11" t="s">
        <v>14</v>
      </c>
      <c r="D1" s="12" t="s">
        <v>15</v>
      </c>
      <c r="E1" s="12"/>
      <c r="F1" s="12"/>
    </row>
    <row r="2" spans="1:4">
      <c r="A2" s="13">
        <v>2025</v>
      </c>
      <c r="B2" s="14">
        <v>2.23</v>
      </c>
      <c r="C2" s="14">
        <v>1.41</v>
      </c>
      <c r="D2" s="15">
        <f>SUM(寶成年增率!I2)</f>
        <v>0.0751355167860985</v>
      </c>
    </row>
    <row r="3" spans="1:4">
      <c r="A3" s="13">
        <v>2024</v>
      </c>
      <c r="B3" s="14">
        <v>10.8</v>
      </c>
      <c r="C3" s="14">
        <v>6.73</v>
      </c>
      <c r="D3" s="16">
        <f>SUM(寶成年增率!I3:I6)/4</f>
        <v>0.0891531083352069</v>
      </c>
    </row>
    <row r="4" spans="1:4">
      <c r="A4" s="13">
        <v>2023</v>
      </c>
      <c r="B4" s="14">
        <v>8.27</v>
      </c>
      <c r="C4" s="14">
        <v>4.85</v>
      </c>
      <c r="D4" s="16">
        <f>SUM(寶成年增率!I7:I10)/4</f>
        <v>0.0657780703867498</v>
      </c>
    </row>
    <row r="5" spans="1:4">
      <c r="A5" s="13">
        <v>2022</v>
      </c>
      <c r="B5" s="14">
        <v>10.31</v>
      </c>
      <c r="C5" s="14">
        <v>5.08</v>
      </c>
      <c r="D5" s="16">
        <f>SUM(寶成年增率!I11:I14)/4</f>
        <v>0.061141415509854</v>
      </c>
    </row>
    <row r="6" spans="1:4">
      <c r="A6" s="13">
        <v>2021</v>
      </c>
      <c r="B6" s="14">
        <v>8.43</v>
      </c>
      <c r="C6" s="14">
        <v>4.58</v>
      </c>
      <c r="D6" s="16">
        <f>SUM(寶成年增率!I15:I118)/4</f>
        <v>0.0804443789698277</v>
      </c>
    </row>
    <row r="7" spans="1:4">
      <c r="A7" s="13">
        <v>2020</v>
      </c>
      <c r="B7" s="14">
        <v>2.03</v>
      </c>
      <c r="C7" s="14">
        <v>1.09</v>
      </c>
      <c r="D7" s="16">
        <f>SUM(寶成年增率!I19:I22)/4</f>
        <v>0.0159163386175296</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workbookViewId="0">
      <pane xSplit="1" topLeftCell="B1" activePane="topRight" state="frozen"/>
      <selection/>
      <selection pane="topRight" activeCell="G17" sqref="G17"/>
    </sheetView>
  </sheetViews>
  <sheetFormatPr defaultColWidth="9" defaultRowHeight="14.5"/>
  <cols>
    <col min="4" max="6" width="11.8545454545455" customWidth="1"/>
    <col min="7" max="7" width="12.5727272727273" customWidth="1"/>
    <col min="8" max="10" width="12.2818181818182" style="16" customWidth="1"/>
    <col min="16" max="16" width="10.7090909090909" customWidth="1"/>
  </cols>
  <sheetData>
    <row r="1" customFormat="1" spans="1:9">
      <c r="A1" t="s">
        <v>0</v>
      </c>
      <c r="B1" t="s">
        <v>1</v>
      </c>
      <c r="C1" s="12" t="s">
        <v>2</v>
      </c>
      <c r="D1" s="12" t="s">
        <v>3</v>
      </c>
      <c r="E1" s="12" t="s">
        <v>4</v>
      </c>
      <c r="F1" s="12" t="s">
        <v>5</v>
      </c>
      <c r="G1" s="12" t="s">
        <v>6</v>
      </c>
      <c r="H1" s="12" t="s">
        <v>7</v>
      </c>
      <c r="I1" s="12" t="s">
        <v>8</v>
      </c>
    </row>
    <row r="2" customFormat="1" spans="1:9">
      <c r="A2">
        <v>2025</v>
      </c>
      <c r="B2" t="s">
        <v>9</v>
      </c>
      <c r="C2" s="14">
        <v>-10.7</v>
      </c>
      <c r="D2" s="21">
        <v>0.0326</v>
      </c>
      <c r="E2" s="14">
        <v>4.06</v>
      </c>
      <c r="F2" s="14">
        <v>2.2</v>
      </c>
      <c r="G2" s="17">
        <v>20722823</v>
      </c>
      <c r="H2" s="18">
        <v>1196287</v>
      </c>
      <c r="I2" s="16">
        <f>H2/G2</f>
        <v>0.0577279939127985</v>
      </c>
    </row>
    <row r="3" customFormat="1" spans="1:9">
      <c r="A3">
        <v>2024</v>
      </c>
      <c r="B3" t="s">
        <v>10</v>
      </c>
      <c r="C3" s="14">
        <v>18.44</v>
      </c>
      <c r="D3" s="21">
        <v>0.1505</v>
      </c>
      <c r="E3" s="14">
        <v>6.23</v>
      </c>
      <c r="F3" s="14">
        <v>3.2</v>
      </c>
      <c r="G3" s="17">
        <v>21885271</v>
      </c>
      <c r="H3" s="18">
        <v>1701699</v>
      </c>
      <c r="I3" s="16">
        <f t="shared" ref="I3:I22" si="0">H3/G3</f>
        <v>0.0777554456602342</v>
      </c>
    </row>
    <row r="4" customFormat="1" spans="1:9">
      <c r="A4">
        <v>2024</v>
      </c>
      <c r="B4" t="s">
        <v>11</v>
      </c>
      <c r="C4" s="14">
        <v>-16</v>
      </c>
      <c r="D4" s="21">
        <v>0.0336</v>
      </c>
      <c r="E4" s="14">
        <v>6.04</v>
      </c>
      <c r="F4" s="14">
        <v>2.92</v>
      </c>
      <c r="G4" s="17">
        <v>22719052</v>
      </c>
      <c r="H4" s="18">
        <v>1530188</v>
      </c>
      <c r="I4" s="16">
        <f t="shared" si="0"/>
        <v>0.067352634256042</v>
      </c>
    </row>
    <row r="5" customFormat="1" spans="1:9">
      <c r="A5">
        <v>2024</v>
      </c>
      <c r="B5" t="s">
        <v>12</v>
      </c>
      <c r="C5" s="14">
        <v>27.26</v>
      </c>
      <c r="D5" s="21">
        <v>-0.0927</v>
      </c>
      <c r="E5" s="14">
        <v>6.51</v>
      </c>
      <c r="F5" s="14">
        <v>3.24</v>
      </c>
      <c r="G5" s="17">
        <v>22266696</v>
      </c>
      <c r="H5" s="18">
        <v>1694050</v>
      </c>
      <c r="I5" s="16">
        <f t="shared" si="0"/>
        <v>0.0760799895952233</v>
      </c>
    </row>
    <row r="6" customFormat="1" spans="1:9">
      <c r="A6">
        <v>2024</v>
      </c>
      <c r="B6" t="s">
        <v>9</v>
      </c>
      <c r="C6" s="14">
        <v>56.41</v>
      </c>
      <c r="D6" s="21">
        <v>-0.2953</v>
      </c>
      <c r="E6" s="14">
        <v>5.13</v>
      </c>
      <c r="F6" s="14">
        <v>2.62</v>
      </c>
      <c r="G6" s="17">
        <v>20616451</v>
      </c>
      <c r="H6" s="18">
        <v>1339620</v>
      </c>
      <c r="I6" s="16">
        <f t="shared" si="0"/>
        <v>0.0649782059967547</v>
      </c>
    </row>
    <row r="7" customFormat="1" spans="1:9">
      <c r="A7">
        <v>2023</v>
      </c>
      <c r="B7" t="s">
        <v>10</v>
      </c>
      <c r="C7" s="14">
        <v>-20.01</v>
      </c>
      <c r="D7" s="21">
        <v>-0.4423</v>
      </c>
      <c r="E7" s="14">
        <v>5.77</v>
      </c>
      <c r="F7" s="14">
        <v>2.79</v>
      </c>
      <c r="G7" s="17">
        <v>22535192</v>
      </c>
      <c r="H7" s="18">
        <v>1436713</v>
      </c>
      <c r="I7" s="16">
        <f t="shared" si="0"/>
        <v>0.0637541938848358</v>
      </c>
    </row>
    <row r="8" customFormat="1" spans="1:9">
      <c r="A8">
        <v>2023</v>
      </c>
      <c r="B8" t="s">
        <v>11</v>
      </c>
      <c r="C8" s="14">
        <v>-38.27</v>
      </c>
      <c r="D8" s="21">
        <v>-0.4046</v>
      </c>
      <c r="E8" s="14">
        <v>7.77</v>
      </c>
      <c r="F8" s="14">
        <v>3.54</v>
      </c>
      <c r="G8" s="17">
        <v>23072896</v>
      </c>
      <c r="H8" s="18">
        <v>1821633</v>
      </c>
      <c r="I8" s="16">
        <f t="shared" si="0"/>
        <v>0.0789512075120522</v>
      </c>
    </row>
    <row r="9" customFormat="1" spans="1:9">
      <c r="A9">
        <v>2023</v>
      </c>
      <c r="B9" t="s">
        <v>12</v>
      </c>
      <c r="C9" s="14">
        <v>-52.62</v>
      </c>
      <c r="D9" s="21">
        <v>0.0683</v>
      </c>
      <c r="E9" s="14">
        <v>5.4</v>
      </c>
      <c r="F9" s="14">
        <v>2.65</v>
      </c>
      <c r="G9" s="17">
        <v>20656426</v>
      </c>
      <c r="H9" s="18">
        <v>1331123</v>
      </c>
      <c r="I9" s="16">
        <f t="shared" si="0"/>
        <v>0.0644411090282511</v>
      </c>
    </row>
    <row r="10" customFormat="1" spans="1:9">
      <c r="A10">
        <v>2023</v>
      </c>
      <c r="B10" t="s">
        <v>9</v>
      </c>
      <c r="C10" s="14">
        <v>-61.2</v>
      </c>
      <c r="D10" s="21">
        <v>0.5186</v>
      </c>
      <c r="E10" s="14">
        <v>3.17</v>
      </c>
      <c r="F10" s="14">
        <v>1.69</v>
      </c>
      <c r="G10" s="17">
        <v>19502750</v>
      </c>
      <c r="H10" s="18">
        <v>856468</v>
      </c>
      <c r="I10" s="16">
        <f t="shared" si="0"/>
        <v>0.0439152427221802</v>
      </c>
    </row>
    <row r="11" customFormat="1" spans="1:9">
      <c r="A11">
        <v>2022</v>
      </c>
      <c r="B11" t="s">
        <v>10</v>
      </c>
      <c r="C11" s="14">
        <v>0.77</v>
      </c>
      <c r="D11" s="21">
        <v>0.8917</v>
      </c>
      <c r="E11" s="14">
        <v>6.79</v>
      </c>
      <c r="F11" s="14">
        <v>3.43</v>
      </c>
      <c r="G11" s="17">
        <v>22863424</v>
      </c>
      <c r="H11" s="18">
        <v>1796157</v>
      </c>
      <c r="I11" s="16">
        <f t="shared" si="0"/>
        <v>0.0785602803849502</v>
      </c>
    </row>
    <row r="12" customFormat="1" spans="1:9">
      <c r="A12">
        <v>2022</v>
      </c>
      <c r="B12" t="s">
        <v>11</v>
      </c>
      <c r="C12" s="14">
        <v>-1059.27</v>
      </c>
      <c r="D12" s="21">
        <v>1.0524</v>
      </c>
      <c r="E12" s="14">
        <v>12.34</v>
      </c>
      <c r="F12" s="14">
        <v>5.7</v>
      </c>
      <c r="G12" s="17">
        <v>25881159</v>
      </c>
      <c r="H12" s="18">
        <v>2951136</v>
      </c>
      <c r="I12" s="16">
        <f t="shared" si="0"/>
        <v>0.114026423623455</v>
      </c>
    </row>
    <row r="13" customFormat="1" spans="1:9">
      <c r="A13">
        <v>2022</v>
      </c>
      <c r="B13" t="s">
        <v>12</v>
      </c>
      <c r="C13" s="14">
        <v>51.22</v>
      </c>
      <c r="D13" s="21">
        <v>-0.0401</v>
      </c>
      <c r="E13" s="14">
        <v>12.77</v>
      </c>
      <c r="F13" s="14">
        <v>5.62</v>
      </c>
      <c r="G13" s="17">
        <v>24763347</v>
      </c>
      <c r="H13" s="18">
        <v>2809580</v>
      </c>
      <c r="I13" s="16">
        <f t="shared" si="0"/>
        <v>0.113457199465</v>
      </c>
    </row>
    <row r="14" customFormat="1" spans="1:9">
      <c r="A14">
        <v>2022</v>
      </c>
      <c r="B14" t="s">
        <v>9</v>
      </c>
      <c r="C14" s="14">
        <v>20.69</v>
      </c>
      <c r="D14" s="21">
        <v>-0.0788</v>
      </c>
      <c r="E14" s="14">
        <v>10.5</v>
      </c>
      <c r="F14" s="14">
        <v>4.57</v>
      </c>
      <c r="G14" s="17">
        <v>22394994</v>
      </c>
      <c r="H14" s="18">
        <v>2207400</v>
      </c>
      <c r="I14" s="16">
        <f t="shared" si="0"/>
        <v>0.0985666707479359</v>
      </c>
    </row>
    <row r="15" customFormat="1" spans="1:9">
      <c r="A15">
        <v>2021</v>
      </c>
      <c r="B15" t="s">
        <v>10</v>
      </c>
      <c r="C15" s="14">
        <v>29.96</v>
      </c>
      <c r="D15" s="21">
        <v>-0.077</v>
      </c>
      <c r="E15" s="14">
        <v>9.34</v>
      </c>
      <c r="F15" s="14">
        <v>4.05</v>
      </c>
      <c r="G15" s="17">
        <v>18724742</v>
      </c>
      <c r="H15" s="18">
        <v>1782422</v>
      </c>
      <c r="I15" s="16">
        <f t="shared" si="0"/>
        <v>0.0951907374745137</v>
      </c>
    </row>
    <row r="16" customFormat="1" spans="1:9">
      <c r="A16">
        <v>2021</v>
      </c>
      <c r="B16" t="s">
        <v>11</v>
      </c>
      <c r="C16" s="14">
        <v>-118.05</v>
      </c>
      <c r="D16" s="21">
        <v>-0.1714</v>
      </c>
      <c r="E16" s="14">
        <v>-1.53</v>
      </c>
      <c r="F16" s="14">
        <v>-0.73</v>
      </c>
      <c r="G16" s="17">
        <v>12590437</v>
      </c>
      <c r="H16" s="18">
        <v>-307643</v>
      </c>
      <c r="I16" s="16">
        <f t="shared" si="0"/>
        <v>-0.0244346562394935</v>
      </c>
    </row>
    <row r="17" spans="1:10">
      <c r="A17">
        <v>2021</v>
      </c>
      <c r="B17" t="s">
        <v>12</v>
      </c>
      <c r="C17" s="14">
        <v>67.54</v>
      </c>
      <c r="D17" s="21">
        <v>0.1143</v>
      </c>
      <c r="E17" s="14">
        <v>8.78</v>
      </c>
      <c r="F17" s="14">
        <v>4.26</v>
      </c>
      <c r="G17" s="17">
        <v>19697860</v>
      </c>
      <c r="H17" s="18">
        <v>1857996</v>
      </c>
      <c r="I17" s="16">
        <f t="shared" si="0"/>
        <v>0.0943247642129653</v>
      </c>
      <c r="J17"/>
    </row>
    <row r="18" spans="1:10">
      <c r="A18">
        <v>2021</v>
      </c>
      <c r="B18" t="s">
        <v>9</v>
      </c>
      <c r="C18" s="14">
        <v>29.99</v>
      </c>
      <c r="D18" s="21">
        <v>-0.1132</v>
      </c>
      <c r="E18" s="14">
        <v>9.19</v>
      </c>
      <c r="F18" s="14">
        <v>4.17</v>
      </c>
      <c r="G18" s="17">
        <v>19336825</v>
      </c>
      <c r="H18" s="18">
        <v>1828958</v>
      </c>
      <c r="I18" s="16">
        <f t="shared" si="0"/>
        <v>0.0945841936305469</v>
      </c>
      <c r="J18"/>
    </row>
    <row r="19" spans="1:10">
      <c r="A19">
        <v>2020</v>
      </c>
      <c r="B19" t="s">
        <v>10</v>
      </c>
      <c r="C19" s="14">
        <v>-9.34</v>
      </c>
      <c r="D19" s="21">
        <v>-0.2015</v>
      </c>
      <c r="E19" s="14">
        <v>7.19</v>
      </c>
      <c r="F19" s="14">
        <v>3.23</v>
      </c>
      <c r="G19" s="17">
        <v>17619591</v>
      </c>
      <c r="H19" s="18">
        <v>1371522</v>
      </c>
      <c r="I19" s="16">
        <f t="shared" si="0"/>
        <v>0.0778407398900463</v>
      </c>
      <c r="J19"/>
    </row>
    <row r="20" spans="1:10">
      <c r="A20">
        <v>2020</v>
      </c>
      <c r="B20" t="s">
        <v>11</v>
      </c>
      <c r="C20" s="14">
        <v>-16.47</v>
      </c>
      <c r="D20" s="21">
        <v>-0.2002</v>
      </c>
      <c r="E20" s="14">
        <v>9.44</v>
      </c>
      <c r="F20" s="14">
        <v>4.24</v>
      </c>
      <c r="G20" s="17">
        <v>17299300</v>
      </c>
      <c r="H20" s="18">
        <v>1704670</v>
      </c>
      <c r="I20" s="16">
        <f t="shared" si="0"/>
        <v>0.0985398253108507</v>
      </c>
      <c r="J20"/>
    </row>
    <row r="21" spans="1:10">
      <c r="A21">
        <v>2020</v>
      </c>
      <c r="B21" t="s">
        <v>12</v>
      </c>
      <c r="C21" s="14">
        <v>-39.12</v>
      </c>
      <c r="D21" s="21">
        <v>-0.1203</v>
      </c>
      <c r="E21" s="14">
        <v>5.99</v>
      </c>
      <c r="F21" s="14">
        <v>2.71</v>
      </c>
      <c r="G21" s="17">
        <v>15920632</v>
      </c>
      <c r="H21" s="18">
        <v>1108966</v>
      </c>
      <c r="I21" s="16">
        <f t="shared" si="0"/>
        <v>0.0696559031073641</v>
      </c>
      <c r="J21"/>
    </row>
    <row r="22" ht="15.25" spans="1:10">
      <c r="A22">
        <v>2020</v>
      </c>
      <c r="B22" t="s">
        <v>9</v>
      </c>
      <c r="C22" s="12">
        <v>-0.1361</v>
      </c>
      <c r="D22" s="22">
        <v>0.0182</v>
      </c>
      <c r="E22" s="14">
        <v>7.33</v>
      </c>
      <c r="F22" s="14">
        <v>3.35</v>
      </c>
      <c r="G22" s="19">
        <v>18120215</v>
      </c>
      <c r="H22" s="20">
        <v>1407013</v>
      </c>
      <c r="I22" s="16">
        <f t="shared" si="0"/>
        <v>0.0776488027321972</v>
      </c>
      <c r="J22"/>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D23" sqref="D23"/>
    </sheetView>
  </sheetViews>
  <sheetFormatPr defaultColWidth="9" defaultRowHeight="14.5" outlineLevelRow="6" outlineLevelCol="3"/>
  <sheetData>
    <row r="1" ht="28" spans="1:4">
      <c r="A1" s="11" t="s">
        <v>0</v>
      </c>
      <c r="B1" s="11" t="s">
        <v>13</v>
      </c>
      <c r="C1" s="11" t="s">
        <v>14</v>
      </c>
      <c r="D1" s="12" t="s">
        <v>15</v>
      </c>
    </row>
    <row r="2" spans="1:4">
      <c r="A2" s="13">
        <v>2025</v>
      </c>
      <c r="B2" s="14">
        <v>4.06</v>
      </c>
      <c r="C2" s="14">
        <v>2.2</v>
      </c>
      <c r="D2" s="15">
        <f>SUM(豐泰企業年增率!I2)</f>
        <v>0.0577279939127985</v>
      </c>
    </row>
    <row r="3" spans="1:4">
      <c r="A3" s="13">
        <v>2024</v>
      </c>
      <c r="B3" s="14">
        <v>23.92</v>
      </c>
      <c r="C3" s="14">
        <v>11.97</v>
      </c>
      <c r="D3" s="16">
        <f>SUM(豐泰企業年增率!I3:I6)/4</f>
        <v>0.0715415688770636</v>
      </c>
    </row>
    <row r="4" spans="1:4">
      <c r="A4" s="13">
        <v>2023</v>
      </c>
      <c r="B4" s="14">
        <v>22.11</v>
      </c>
      <c r="C4" s="14">
        <v>10.67</v>
      </c>
      <c r="D4" s="16">
        <f>SUM(豐泰企業年增率!I7:I10)/4</f>
        <v>0.0627654382868298</v>
      </c>
    </row>
    <row r="5" spans="1:4">
      <c r="A5" s="13">
        <v>2022</v>
      </c>
      <c r="B5" s="14">
        <v>42.4</v>
      </c>
      <c r="C5" s="14">
        <v>19.32</v>
      </c>
      <c r="D5" s="16">
        <f>SUM(豐泰企業年增率!I11:I14)/4</f>
        <v>0.101152643555335</v>
      </c>
    </row>
    <row r="6" spans="1:4">
      <c r="A6" s="13">
        <v>2021</v>
      </c>
      <c r="B6" s="14">
        <v>25.77</v>
      </c>
      <c r="C6" s="14">
        <v>11.76</v>
      </c>
      <c r="D6" s="16">
        <f>SUM(豐泰企業年增率!I15:I118)/4</f>
        <v>0.145837577529748</v>
      </c>
    </row>
    <row r="7" spans="1:4">
      <c r="A7" s="13">
        <v>2020</v>
      </c>
      <c r="B7" s="14">
        <v>29.95</v>
      </c>
      <c r="C7" s="14">
        <v>13.54</v>
      </c>
      <c r="D7" s="16">
        <f>SUM(豐泰企業年增率!I19:I22)/4</f>
        <v>0.0809213177601146</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workbookViewId="0">
      <pane xSplit="1" topLeftCell="B1" activePane="topRight" state="frozen"/>
      <selection/>
      <selection pane="topRight" activeCell="A1" sqref="A1"/>
    </sheetView>
  </sheetViews>
  <sheetFormatPr defaultColWidth="9" defaultRowHeight="14.5"/>
  <cols>
    <col min="4" max="6" width="11.8545454545455" customWidth="1"/>
    <col min="7" max="7" width="11.2818181818182" customWidth="1"/>
    <col min="8" max="10" width="12.2818181818182" style="16" customWidth="1"/>
    <col min="16" max="16" width="10.7090909090909" customWidth="1"/>
  </cols>
  <sheetData>
    <row r="1" spans="1:10">
      <c r="A1" t="s">
        <v>0</v>
      </c>
      <c r="B1" t="s">
        <v>1</v>
      </c>
      <c r="C1" s="12" t="s">
        <v>2</v>
      </c>
      <c r="D1" s="12" t="s">
        <v>3</v>
      </c>
      <c r="E1" s="12" t="s">
        <v>4</v>
      </c>
      <c r="F1" s="12" t="s">
        <v>5</v>
      </c>
      <c r="G1" s="12" t="s">
        <v>6</v>
      </c>
      <c r="H1" s="12" t="s">
        <v>7</v>
      </c>
      <c r="I1" s="12" t="s">
        <v>8</v>
      </c>
      <c r="J1"/>
    </row>
    <row r="2" spans="1:10">
      <c r="A2">
        <v>2025</v>
      </c>
      <c r="B2" t="s">
        <v>9</v>
      </c>
      <c r="C2" s="14">
        <v>-11.16</v>
      </c>
      <c r="D2" s="14">
        <v>2.9</v>
      </c>
      <c r="E2" s="14">
        <v>1.78</v>
      </c>
      <c r="F2" s="14">
        <v>1.14</v>
      </c>
      <c r="G2" s="17">
        <v>3667587</v>
      </c>
      <c r="H2" s="18">
        <v>250567</v>
      </c>
      <c r="I2" s="16">
        <f>H2/G2</f>
        <v>0.0683193063995483</v>
      </c>
      <c r="J2"/>
    </row>
    <row r="3" spans="1:10">
      <c r="A3">
        <v>2024</v>
      </c>
      <c r="B3" t="s">
        <v>10</v>
      </c>
      <c r="C3" s="14">
        <v>826.74</v>
      </c>
      <c r="D3" s="14">
        <v>-8.23</v>
      </c>
      <c r="E3" s="14">
        <v>4.31</v>
      </c>
      <c r="F3" s="14">
        <v>2.79</v>
      </c>
      <c r="G3" s="17">
        <v>4388170</v>
      </c>
      <c r="H3" s="18">
        <v>583528</v>
      </c>
      <c r="I3" s="16">
        <f t="shared" ref="I3:I22" si="0">H3/G3</f>
        <v>0.132977528217913</v>
      </c>
      <c r="J3"/>
    </row>
    <row r="4" spans="1:10">
      <c r="A4">
        <v>2024</v>
      </c>
      <c r="B4" t="s">
        <v>11</v>
      </c>
      <c r="C4" s="14">
        <v>-69.96</v>
      </c>
      <c r="D4" s="14">
        <v>-58.09</v>
      </c>
      <c r="E4" s="14">
        <v>0.79</v>
      </c>
      <c r="F4" s="14">
        <v>0.51</v>
      </c>
      <c r="G4" s="17">
        <v>3598903</v>
      </c>
      <c r="H4" s="18">
        <v>101675</v>
      </c>
      <c r="I4" s="16">
        <f t="shared" si="0"/>
        <v>0.028251664465533</v>
      </c>
      <c r="J4"/>
    </row>
    <row r="5" spans="1:10">
      <c r="A5">
        <v>2024</v>
      </c>
      <c r="B5" t="s">
        <v>12</v>
      </c>
      <c r="C5" s="14">
        <v>-34.53</v>
      </c>
      <c r="D5" s="14">
        <v>-63.58</v>
      </c>
      <c r="E5" s="14">
        <v>3.22</v>
      </c>
      <c r="F5" s="14">
        <v>2.1</v>
      </c>
      <c r="G5" s="17">
        <v>3965185</v>
      </c>
      <c r="H5" s="18">
        <v>406613</v>
      </c>
      <c r="I5" s="16">
        <f t="shared" si="0"/>
        <v>0.102545782857546</v>
      </c>
      <c r="J5"/>
    </row>
    <row r="6" spans="1:10">
      <c r="A6">
        <v>2024</v>
      </c>
      <c r="B6" t="s">
        <v>9</v>
      </c>
      <c r="C6" s="14">
        <v>-40.56</v>
      </c>
      <c r="D6" s="14">
        <v>-60.79</v>
      </c>
      <c r="E6" s="14">
        <v>2.28</v>
      </c>
      <c r="F6" s="14">
        <v>1.49</v>
      </c>
      <c r="G6" s="17">
        <v>2659213</v>
      </c>
      <c r="H6" s="18">
        <v>282030</v>
      </c>
      <c r="I6" s="16">
        <f t="shared" si="0"/>
        <v>0.106057694513377</v>
      </c>
      <c r="J6"/>
    </row>
    <row r="7" spans="1:10">
      <c r="A7">
        <v>2023</v>
      </c>
      <c r="B7" t="s">
        <v>10</v>
      </c>
      <c r="C7" s="14">
        <v>-89.54</v>
      </c>
      <c r="D7" s="14">
        <v>-55.91</v>
      </c>
      <c r="E7" s="14">
        <v>0.49</v>
      </c>
      <c r="F7" s="14">
        <v>0.33</v>
      </c>
      <c r="G7" s="17">
        <v>3680586</v>
      </c>
      <c r="H7" s="18">
        <v>62966</v>
      </c>
      <c r="I7" s="16">
        <f t="shared" si="0"/>
        <v>0.0171076018873082</v>
      </c>
      <c r="J7"/>
    </row>
    <row r="8" spans="1:10">
      <c r="A8">
        <v>2023</v>
      </c>
      <c r="B8" t="s">
        <v>11</v>
      </c>
      <c r="C8" s="14">
        <v>-73.88</v>
      </c>
      <c r="D8" s="14">
        <v>-36.01</v>
      </c>
      <c r="E8" s="14">
        <v>2.63</v>
      </c>
      <c r="F8" s="14">
        <v>1.69</v>
      </c>
      <c r="G8" s="17">
        <v>3542788</v>
      </c>
      <c r="H8" s="18">
        <v>338469</v>
      </c>
      <c r="I8" s="16">
        <f t="shared" si="0"/>
        <v>0.0955374693602891</v>
      </c>
      <c r="J8"/>
    </row>
    <row r="9" spans="1:10">
      <c r="A9">
        <v>2023</v>
      </c>
      <c r="B9" t="s">
        <v>12</v>
      </c>
      <c r="C9" s="14">
        <v>-34.92</v>
      </c>
      <c r="D9" s="14">
        <v>34.39</v>
      </c>
      <c r="E9" s="14">
        <v>5.07</v>
      </c>
      <c r="F9" s="14">
        <v>2.97</v>
      </c>
      <c r="G9" s="17">
        <v>4616288</v>
      </c>
      <c r="H9" s="18">
        <v>621079</v>
      </c>
      <c r="I9" s="16">
        <f t="shared" si="0"/>
        <v>0.134540782550829</v>
      </c>
      <c r="J9"/>
    </row>
    <row r="10" spans="1:10">
      <c r="A10">
        <v>2023</v>
      </c>
      <c r="B10" t="s">
        <v>9</v>
      </c>
      <c r="C10" s="14">
        <v>-12.68</v>
      </c>
      <c r="D10" s="14">
        <v>137.17</v>
      </c>
      <c r="E10" s="14">
        <v>3.86</v>
      </c>
      <c r="F10" s="14">
        <v>2.14</v>
      </c>
      <c r="G10" s="17">
        <v>5053564</v>
      </c>
      <c r="H10" s="18">
        <v>474464</v>
      </c>
      <c r="I10" s="16">
        <f t="shared" si="0"/>
        <v>0.0938870072685336</v>
      </c>
      <c r="J10"/>
    </row>
    <row r="11" spans="1:10">
      <c r="A11">
        <v>2022</v>
      </c>
      <c r="B11" t="s">
        <v>10</v>
      </c>
      <c r="C11" s="14">
        <v>55.07</v>
      </c>
      <c r="D11" s="14">
        <v>186.62</v>
      </c>
      <c r="E11" s="14">
        <v>4.82</v>
      </c>
      <c r="F11" s="14">
        <v>2.58</v>
      </c>
      <c r="G11" s="17">
        <v>6216051</v>
      </c>
      <c r="H11" s="18">
        <v>602000</v>
      </c>
      <c r="I11" s="16">
        <f t="shared" si="0"/>
        <v>0.0968460522605107</v>
      </c>
      <c r="J11"/>
    </row>
    <row r="12" spans="1:10">
      <c r="A12">
        <v>2022</v>
      </c>
      <c r="B12" t="s">
        <v>11</v>
      </c>
      <c r="C12" s="14">
        <v>279.39</v>
      </c>
      <c r="D12" s="14">
        <v>223.8</v>
      </c>
      <c r="E12" s="14">
        <v>11.25</v>
      </c>
      <c r="F12" s="14">
        <v>5.62</v>
      </c>
      <c r="G12" s="17">
        <v>7238216</v>
      </c>
      <c r="H12" s="18">
        <v>1295883</v>
      </c>
      <c r="I12" s="16">
        <f t="shared" si="0"/>
        <v>0.17903348007299</v>
      </c>
      <c r="J12"/>
    </row>
    <row r="13" spans="1:10">
      <c r="A13">
        <v>2022</v>
      </c>
      <c r="B13" t="s">
        <v>12</v>
      </c>
      <c r="C13" s="14">
        <v>636.83</v>
      </c>
      <c r="D13" s="14">
        <v>169.87</v>
      </c>
      <c r="E13" s="14">
        <v>9.54</v>
      </c>
      <c r="F13" s="14">
        <v>4.52</v>
      </c>
      <c r="G13" s="17">
        <v>6199851</v>
      </c>
      <c r="H13" s="18">
        <v>954320</v>
      </c>
      <c r="I13" s="16">
        <f t="shared" si="0"/>
        <v>0.153926279841241</v>
      </c>
      <c r="J13"/>
    </row>
    <row r="14" spans="1:10">
      <c r="A14">
        <v>2022</v>
      </c>
      <c r="B14" t="s">
        <v>9</v>
      </c>
      <c r="C14" s="14">
        <v>66.99</v>
      </c>
      <c r="D14" s="14">
        <v>61.73</v>
      </c>
      <c r="E14" s="14">
        <v>5.91</v>
      </c>
      <c r="F14" s="14">
        <v>2.9</v>
      </c>
      <c r="G14" s="17">
        <v>4527115</v>
      </c>
      <c r="H14" s="18">
        <v>543347</v>
      </c>
      <c r="I14" s="16">
        <f t="shared" si="0"/>
        <v>0.120020587062622</v>
      </c>
      <c r="J14"/>
    </row>
    <row r="15" spans="1:10">
      <c r="A15">
        <v>2021</v>
      </c>
      <c r="B15" t="s">
        <v>10</v>
      </c>
      <c r="C15" s="14">
        <v>108.52</v>
      </c>
      <c r="D15" s="14">
        <v>32.29</v>
      </c>
      <c r="E15" s="14">
        <v>4.33</v>
      </c>
      <c r="F15" s="14">
        <v>2.28</v>
      </c>
      <c r="G15" s="17">
        <v>4498231</v>
      </c>
      <c r="H15" s="18">
        <v>388210</v>
      </c>
      <c r="I15" s="16">
        <f t="shared" si="0"/>
        <v>0.0863028154845761</v>
      </c>
      <c r="J15"/>
    </row>
    <row r="16" spans="1:10">
      <c r="A16">
        <v>2021</v>
      </c>
      <c r="B16" t="s">
        <v>11</v>
      </c>
      <c r="C16" s="14">
        <v>85.32</v>
      </c>
      <c r="D16" s="14">
        <v>-9.05</v>
      </c>
      <c r="E16" s="14">
        <v>3.93</v>
      </c>
      <c r="F16" s="14">
        <v>2.09</v>
      </c>
      <c r="G16" s="17">
        <v>4149813</v>
      </c>
      <c r="H16" s="18">
        <v>341568</v>
      </c>
      <c r="I16" s="16">
        <f t="shared" si="0"/>
        <v>0.0823092510433603</v>
      </c>
      <c r="J16"/>
    </row>
    <row r="17" spans="1:10">
      <c r="A17">
        <v>2021</v>
      </c>
      <c r="B17" t="s">
        <v>12</v>
      </c>
      <c r="C17" s="14">
        <v>-24.44</v>
      </c>
      <c r="D17" s="14">
        <v>-36.56</v>
      </c>
      <c r="E17" s="14">
        <v>1.52</v>
      </c>
      <c r="F17" s="14">
        <v>0.82</v>
      </c>
      <c r="G17" s="17">
        <v>3479368</v>
      </c>
      <c r="H17" s="18">
        <v>129517</v>
      </c>
      <c r="I17" s="16">
        <f t="shared" si="0"/>
        <v>0.0372242890088085</v>
      </c>
      <c r="J17"/>
    </row>
    <row r="18" spans="1:10">
      <c r="A18">
        <v>2021</v>
      </c>
      <c r="B18" t="s">
        <v>9</v>
      </c>
      <c r="C18" s="14">
        <v>-7.99</v>
      </c>
      <c r="D18" s="14">
        <v>-39.15</v>
      </c>
      <c r="E18" s="14">
        <v>3.82</v>
      </c>
      <c r="F18" s="14">
        <v>2.18</v>
      </c>
      <c r="G18" s="17">
        <v>3416849</v>
      </c>
      <c r="H18" s="18">
        <v>325376</v>
      </c>
      <c r="I18" s="16">
        <f t="shared" si="0"/>
        <v>0.0952269181342225</v>
      </c>
      <c r="J18"/>
    </row>
    <row r="19" spans="1:10">
      <c r="A19">
        <v>2020</v>
      </c>
      <c r="B19" t="s">
        <v>10</v>
      </c>
      <c r="C19" s="14">
        <v>-49.82</v>
      </c>
      <c r="D19" s="14">
        <v>-29.85</v>
      </c>
      <c r="E19" s="14">
        <v>2.17</v>
      </c>
      <c r="F19" s="14">
        <v>1.32</v>
      </c>
      <c r="G19" s="17">
        <v>2979227</v>
      </c>
      <c r="H19" s="18">
        <v>186176</v>
      </c>
      <c r="I19" s="16">
        <f t="shared" si="0"/>
        <v>0.0624913777969923</v>
      </c>
      <c r="J19"/>
    </row>
    <row r="20" spans="1:10">
      <c r="A20">
        <v>2020</v>
      </c>
      <c r="B20" t="s">
        <v>11</v>
      </c>
      <c r="C20" s="14">
        <v>-54.49</v>
      </c>
      <c r="D20" s="14">
        <v>-1.41</v>
      </c>
      <c r="E20" s="14">
        <v>2.27</v>
      </c>
      <c r="F20" s="14">
        <v>1.36</v>
      </c>
      <c r="G20" s="17">
        <v>3217219</v>
      </c>
      <c r="H20" s="18">
        <v>184308</v>
      </c>
      <c r="I20" s="16">
        <f t="shared" si="0"/>
        <v>0.0572879869228672</v>
      </c>
      <c r="J20"/>
    </row>
    <row r="21" spans="1:10">
      <c r="A21">
        <v>2020</v>
      </c>
      <c r="B21" t="s">
        <v>12</v>
      </c>
      <c r="C21" s="14">
        <v>-42.03</v>
      </c>
      <c r="D21" s="14">
        <v>44.42</v>
      </c>
      <c r="E21" s="14">
        <v>2.11</v>
      </c>
      <c r="F21" s="14">
        <v>1.3</v>
      </c>
      <c r="G21" s="17">
        <v>2376331</v>
      </c>
      <c r="H21" s="18">
        <v>171410</v>
      </c>
      <c r="I21" s="16">
        <f t="shared" si="0"/>
        <v>0.0721322071714757</v>
      </c>
      <c r="J21"/>
    </row>
    <row r="22" ht="15.25" spans="1:10">
      <c r="A22">
        <v>2020</v>
      </c>
      <c r="B22" t="s">
        <v>9</v>
      </c>
      <c r="C22" s="14">
        <v>72.69</v>
      </c>
      <c r="D22" s="14">
        <v>68.83</v>
      </c>
      <c r="E22" s="14">
        <v>4.2</v>
      </c>
      <c r="F22" s="14">
        <v>2.72</v>
      </c>
      <c r="G22" s="19">
        <v>2772864</v>
      </c>
      <c r="H22" s="20">
        <v>353620</v>
      </c>
      <c r="I22" s="16">
        <f t="shared" si="0"/>
        <v>0.127528793334257</v>
      </c>
      <c r="J22"/>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E4" sqref="E4"/>
    </sheetView>
  </sheetViews>
  <sheetFormatPr defaultColWidth="9" defaultRowHeight="14.5" outlineLevelRow="6" outlineLevelCol="3"/>
  <sheetData>
    <row r="1" ht="28" spans="1:4">
      <c r="A1" s="11" t="s">
        <v>0</v>
      </c>
      <c r="B1" s="11" t="s">
        <v>13</v>
      </c>
      <c r="C1" s="11" t="s">
        <v>14</v>
      </c>
      <c r="D1" s="12" t="s">
        <v>15</v>
      </c>
    </row>
    <row r="2" spans="1:4">
      <c r="A2" s="13">
        <v>2025</v>
      </c>
      <c r="B2" s="14">
        <v>1.78</v>
      </c>
      <c r="C2" s="14">
        <v>1.14</v>
      </c>
      <c r="D2" s="15">
        <f>SUM(鈺齊年增率!I2)</f>
        <v>0.0683193063995483</v>
      </c>
    </row>
    <row r="3" spans="1:4">
      <c r="A3" s="13">
        <v>2024</v>
      </c>
      <c r="B3" s="14">
        <v>10.59</v>
      </c>
      <c r="C3" s="14">
        <v>6.89</v>
      </c>
      <c r="D3" s="16">
        <f>SUM(鈺齊年增率!I3:I6)/4</f>
        <v>0.0924581675135923</v>
      </c>
    </row>
    <row r="4" spans="1:4">
      <c r="A4" s="13">
        <v>2023</v>
      </c>
      <c r="B4" s="14">
        <v>12.06</v>
      </c>
      <c r="C4" s="14">
        <v>7.12</v>
      </c>
      <c r="D4" s="16">
        <f>SUM(鈺齊年增率!I7:I10)/4</f>
        <v>0.0852682152667399</v>
      </c>
    </row>
    <row r="5" spans="1:4">
      <c r="A5" s="13">
        <v>2022</v>
      </c>
      <c r="B5" s="14">
        <v>31.51</v>
      </c>
      <c r="C5" s="14">
        <v>15.61</v>
      </c>
      <c r="D5" s="16">
        <f>SUM(鈺齊年增率!I11:I14)/4</f>
        <v>0.137456599809341</v>
      </c>
    </row>
    <row r="6" spans="1:4">
      <c r="A6" s="13">
        <v>2021</v>
      </c>
      <c r="B6" s="14">
        <v>13.61</v>
      </c>
      <c r="C6" s="14">
        <v>7.36</v>
      </c>
      <c r="D6" s="16">
        <f>SUM(鈺齊年增率!I15:I118)/4</f>
        <v>0.15512590972414</v>
      </c>
    </row>
    <row r="7" spans="1:4">
      <c r="A7" s="13">
        <v>2020</v>
      </c>
      <c r="B7" s="14">
        <v>10.75</v>
      </c>
      <c r="C7" s="14">
        <v>6.7</v>
      </c>
      <c r="D7" s="16">
        <f>SUM(鈺齊年增率!I19:I22)/4</f>
        <v>0.079860091306398</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workbookViewId="0">
      <pane xSplit="1" topLeftCell="D1" activePane="topRight" state="frozen"/>
      <selection/>
      <selection pane="topRight" activeCell="F16" sqref="F16"/>
    </sheetView>
  </sheetViews>
  <sheetFormatPr defaultColWidth="9" defaultRowHeight="14.5"/>
  <cols>
    <col min="4" max="6" width="11.8545454545455" customWidth="1"/>
    <col min="7" max="7" width="11.2818181818182" customWidth="1"/>
    <col min="8" max="10" width="12.2818181818182" style="16" customWidth="1"/>
    <col min="16" max="16" width="10.7090909090909" customWidth="1"/>
  </cols>
  <sheetData>
    <row r="1" spans="1:10">
      <c r="A1" t="s">
        <v>0</v>
      </c>
      <c r="B1" t="s">
        <v>1</v>
      </c>
      <c r="C1" s="12" t="s">
        <v>2</v>
      </c>
      <c r="D1" s="12" t="s">
        <v>3</v>
      </c>
      <c r="E1" s="12" t="s">
        <v>4</v>
      </c>
      <c r="F1" s="12" t="s">
        <v>5</v>
      </c>
      <c r="G1" s="12" t="s">
        <v>6</v>
      </c>
      <c r="H1" s="12" t="s">
        <v>7</v>
      </c>
      <c r="I1" s="12" t="s">
        <v>8</v>
      </c>
      <c r="J1"/>
    </row>
    <row r="2" spans="1:10">
      <c r="A2">
        <v>2025</v>
      </c>
      <c r="B2" t="s">
        <v>9</v>
      </c>
      <c r="C2" s="14">
        <v>53.93</v>
      </c>
      <c r="D2" s="14">
        <v>209.62</v>
      </c>
      <c r="E2" s="14">
        <v>3.43</v>
      </c>
      <c r="F2" s="14">
        <v>1.69</v>
      </c>
      <c r="G2" s="17">
        <v>4250077</v>
      </c>
      <c r="H2" s="18">
        <v>564274</v>
      </c>
      <c r="I2" s="16">
        <f>H2/G2</f>
        <v>0.132767947498363</v>
      </c>
      <c r="J2"/>
    </row>
    <row r="3" spans="1:10">
      <c r="A3">
        <v>2024</v>
      </c>
      <c r="B3" t="s">
        <v>10</v>
      </c>
      <c r="C3" s="14">
        <v>1184.56</v>
      </c>
      <c r="D3" s="14">
        <v>476.65</v>
      </c>
      <c r="E3" s="14">
        <v>1.83</v>
      </c>
      <c r="F3" s="14">
        <v>0.9</v>
      </c>
      <c r="G3" s="17">
        <v>3862088</v>
      </c>
      <c r="H3" s="18">
        <v>296656</v>
      </c>
      <c r="I3" s="16">
        <f t="shared" ref="I3:I22" si="0">H3/G3</f>
        <v>0.0768123357106311</v>
      </c>
      <c r="J3"/>
    </row>
    <row r="4" spans="1:10">
      <c r="A4">
        <v>2024</v>
      </c>
      <c r="B4" t="s">
        <v>11</v>
      </c>
      <c r="C4" s="14">
        <v>112.3</v>
      </c>
      <c r="D4" s="14">
        <v>342.95</v>
      </c>
      <c r="E4" s="14">
        <v>3.33</v>
      </c>
      <c r="F4" s="14">
        <v>1.59</v>
      </c>
      <c r="G4" s="17">
        <v>4319727</v>
      </c>
      <c r="H4" s="18">
        <v>524954</v>
      </c>
      <c r="I4" s="16">
        <f t="shared" si="0"/>
        <v>0.121524809322441</v>
      </c>
      <c r="J4"/>
    </row>
    <row r="5" spans="1:10">
      <c r="A5">
        <v>2024</v>
      </c>
      <c r="B5" t="s">
        <v>12</v>
      </c>
      <c r="C5" s="14">
        <v>-821.96</v>
      </c>
      <c r="D5" s="14">
        <v>107.07</v>
      </c>
      <c r="E5" s="14">
        <v>2.69</v>
      </c>
      <c r="F5" s="14">
        <v>1.24</v>
      </c>
      <c r="G5" s="17">
        <v>3721560</v>
      </c>
      <c r="H5" s="18">
        <v>410267</v>
      </c>
      <c r="I5" s="16">
        <f t="shared" si="0"/>
        <v>0.110240598028784</v>
      </c>
      <c r="J5"/>
    </row>
    <row r="6" spans="1:10">
      <c r="A6">
        <v>2024</v>
      </c>
      <c r="B6" t="s">
        <v>9</v>
      </c>
      <c r="C6" s="14">
        <v>475.86</v>
      </c>
      <c r="D6" s="14">
        <v>-56</v>
      </c>
      <c r="E6" s="14">
        <v>2.54</v>
      </c>
      <c r="F6" s="14">
        <v>1.13</v>
      </c>
      <c r="G6" s="17">
        <v>3555193</v>
      </c>
      <c r="H6" s="18">
        <v>366574</v>
      </c>
      <c r="I6" s="16">
        <f t="shared" si="0"/>
        <v>0.103109451441877</v>
      </c>
      <c r="J6"/>
    </row>
    <row r="7" spans="1:10">
      <c r="A7">
        <v>2023</v>
      </c>
      <c r="B7" t="s">
        <v>10</v>
      </c>
      <c r="C7" s="14">
        <v>-48.68</v>
      </c>
      <c r="D7" s="14">
        <v>-84.5</v>
      </c>
      <c r="E7" s="14">
        <v>0.16</v>
      </c>
      <c r="F7" s="14">
        <v>0.07</v>
      </c>
      <c r="G7" s="17">
        <v>3157143</v>
      </c>
      <c r="H7" s="18">
        <v>23094</v>
      </c>
      <c r="I7" s="16">
        <f t="shared" si="0"/>
        <v>0.00731484129797098</v>
      </c>
      <c r="J7"/>
    </row>
    <row r="8" spans="1:10">
      <c r="A8">
        <v>2023</v>
      </c>
      <c r="B8" t="s">
        <v>11</v>
      </c>
      <c r="C8" s="14">
        <v>-45.52</v>
      </c>
      <c r="D8" s="14">
        <v>-86.82</v>
      </c>
      <c r="E8" s="14">
        <v>1.78</v>
      </c>
      <c r="F8" s="14">
        <v>0.76</v>
      </c>
      <c r="G8" s="17">
        <v>3576684</v>
      </c>
      <c r="H8" s="18">
        <v>247272</v>
      </c>
      <c r="I8" s="16">
        <f t="shared" si="0"/>
        <v>0.0691344273075284</v>
      </c>
      <c r="J8"/>
    </row>
    <row r="9" spans="1:10">
      <c r="A9">
        <v>2023</v>
      </c>
      <c r="B9" t="s">
        <v>12</v>
      </c>
      <c r="C9" s="14">
        <v>-107.52</v>
      </c>
      <c r="D9" s="14">
        <v>-77.34</v>
      </c>
      <c r="E9" s="14">
        <v>-0.4</v>
      </c>
      <c r="F9" s="14">
        <v>-0.18</v>
      </c>
      <c r="G9" s="17">
        <v>2707641</v>
      </c>
      <c r="H9" s="18">
        <v>-56827</v>
      </c>
      <c r="I9" s="16">
        <f t="shared" si="0"/>
        <v>-0.0209876420101483</v>
      </c>
      <c r="J9"/>
    </row>
    <row r="10" spans="1:10">
      <c r="A10">
        <v>2023</v>
      </c>
      <c r="B10" t="s">
        <v>9</v>
      </c>
      <c r="C10" s="14">
        <v>-88.08</v>
      </c>
      <c r="D10" s="14">
        <v>-45.72</v>
      </c>
      <c r="E10" s="14">
        <v>0.44</v>
      </c>
      <c r="F10" s="14">
        <v>0.2</v>
      </c>
      <c r="G10" s="17">
        <v>3003735</v>
      </c>
      <c r="H10" s="18">
        <v>63657</v>
      </c>
      <c r="I10" s="16">
        <f t="shared" si="0"/>
        <v>0.0211926151940834</v>
      </c>
      <c r="J10"/>
    </row>
    <row r="11" spans="1:10">
      <c r="A11">
        <v>2022</v>
      </c>
      <c r="B11" t="s">
        <v>10</v>
      </c>
      <c r="C11" s="14">
        <v>-91.43</v>
      </c>
      <c r="D11" s="14">
        <v>-32.91</v>
      </c>
      <c r="E11" s="14">
        <v>0.31</v>
      </c>
      <c r="F11" s="14">
        <v>0.14</v>
      </c>
      <c r="G11" s="17">
        <v>2963038</v>
      </c>
      <c r="H11" s="18">
        <v>45002</v>
      </c>
      <c r="I11" s="16">
        <f t="shared" si="0"/>
        <v>0.0151877903692089</v>
      </c>
      <c r="J11"/>
    </row>
    <row r="12" spans="1:10">
      <c r="A12">
        <v>2022</v>
      </c>
      <c r="B12" t="s">
        <v>11</v>
      </c>
      <c r="C12" s="14">
        <v>8.87</v>
      </c>
      <c r="D12" s="14">
        <v>-13.3</v>
      </c>
      <c r="E12" s="14">
        <v>3.17</v>
      </c>
      <c r="F12" s="14">
        <v>1.38</v>
      </c>
      <c r="G12" s="17">
        <v>4006920</v>
      </c>
      <c r="H12" s="18">
        <v>453890</v>
      </c>
      <c r="I12" s="16">
        <f t="shared" si="0"/>
        <v>0.113276531600331</v>
      </c>
      <c r="J12"/>
    </row>
    <row r="13" spans="1:10">
      <c r="A13">
        <v>2022</v>
      </c>
      <c r="B13" t="s">
        <v>12</v>
      </c>
      <c r="C13" s="14">
        <v>-20.71</v>
      </c>
      <c r="D13" s="14">
        <v>-14.11</v>
      </c>
      <c r="E13" s="14">
        <v>5.58</v>
      </c>
      <c r="F13" s="14">
        <v>2.43</v>
      </c>
      <c r="G13" s="17">
        <v>5035531</v>
      </c>
      <c r="H13" s="18">
        <v>755976</v>
      </c>
      <c r="I13" s="16">
        <f t="shared" si="0"/>
        <v>0.150128357863351</v>
      </c>
      <c r="J13"/>
    </row>
    <row r="14" spans="1:10">
      <c r="A14">
        <v>2022</v>
      </c>
      <c r="B14" t="s">
        <v>9</v>
      </c>
      <c r="C14" s="14">
        <v>-30.73</v>
      </c>
      <c r="D14" s="14">
        <v>25.28</v>
      </c>
      <c r="E14" s="14">
        <v>3.99</v>
      </c>
      <c r="F14" s="14">
        <v>1.8</v>
      </c>
      <c r="G14" s="17">
        <v>4264897</v>
      </c>
      <c r="H14" s="18">
        <v>533913</v>
      </c>
      <c r="I14" s="16">
        <f t="shared" si="0"/>
        <v>0.125187782964043</v>
      </c>
      <c r="J14"/>
    </row>
    <row r="15" spans="1:10">
      <c r="A15">
        <v>2021</v>
      </c>
      <c r="B15" t="s">
        <v>10</v>
      </c>
      <c r="C15" s="14">
        <v>10.37</v>
      </c>
      <c r="D15" s="14">
        <v>48.08</v>
      </c>
      <c r="E15" s="14">
        <v>3.89</v>
      </c>
      <c r="F15" s="14">
        <v>1.79</v>
      </c>
      <c r="G15" s="17">
        <v>4125645</v>
      </c>
      <c r="H15" s="18">
        <v>524911</v>
      </c>
      <c r="I15" s="16">
        <f t="shared" si="0"/>
        <v>0.127231257173121</v>
      </c>
      <c r="J15"/>
    </row>
    <row r="16" spans="1:10">
      <c r="A16">
        <v>2021</v>
      </c>
      <c r="B16" t="s">
        <v>11</v>
      </c>
      <c r="C16" s="14">
        <v>4.63</v>
      </c>
      <c r="D16" s="14">
        <v>50.67</v>
      </c>
      <c r="E16" s="14">
        <v>3.17</v>
      </c>
      <c r="F16" s="14">
        <v>1.38</v>
      </c>
      <c r="G16" s="17">
        <v>3480848</v>
      </c>
      <c r="H16" s="18">
        <v>416914</v>
      </c>
      <c r="I16" s="16">
        <f t="shared" si="0"/>
        <v>0.119773687331363</v>
      </c>
      <c r="J16"/>
    </row>
    <row r="17" spans="1:10">
      <c r="A17">
        <v>2021</v>
      </c>
      <c r="B17" t="s">
        <v>12</v>
      </c>
      <c r="C17" s="14">
        <v>224.22</v>
      </c>
      <c r="D17" s="14">
        <v>49.34</v>
      </c>
      <c r="E17" s="14">
        <v>7.6</v>
      </c>
      <c r="F17" s="14">
        <v>3.03</v>
      </c>
      <c r="G17" s="17">
        <v>6008922</v>
      </c>
      <c r="H17" s="18">
        <v>953422</v>
      </c>
      <c r="I17" s="16">
        <f t="shared" si="0"/>
        <v>0.158667727755494</v>
      </c>
      <c r="J17"/>
    </row>
    <row r="18" spans="1:10">
      <c r="A18">
        <v>2021</v>
      </c>
      <c r="B18" t="s">
        <v>9</v>
      </c>
      <c r="C18" s="14">
        <v>21.9</v>
      </c>
      <c r="D18" s="14">
        <v>4.4</v>
      </c>
      <c r="E18" s="14">
        <v>6.27</v>
      </c>
      <c r="F18" s="14">
        <v>2.41</v>
      </c>
      <c r="G18" s="17">
        <v>4672371</v>
      </c>
      <c r="H18" s="18">
        <v>770803</v>
      </c>
      <c r="I18" s="16">
        <f t="shared" si="0"/>
        <v>0.164970418658964</v>
      </c>
      <c r="J18"/>
    </row>
    <row r="19" spans="1:10">
      <c r="A19">
        <v>2020</v>
      </c>
      <c r="B19" t="s">
        <v>10</v>
      </c>
      <c r="C19" s="14">
        <v>15.47</v>
      </c>
      <c r="D19" s="14">
        <v>6.16</v>
      </c>
      <c r="E19" s="14">
        <v>3.91</v>
      </c>
      <c r="F19" s="14">
        <v>1.52</v>
      </c>
      <c r="G19" s="17">
        <v>3651392</v>
      </c>
      <c r="H19" s="18">
        <v>475583</v>
      </c>
      <c r="I19" s="16">
        <f t="shared" si="0"/>
        <v>0.130247040032952</v>
      </c>
      <c r="J19"/>
    </row>
    <row r="20" spans="1:10">
      <c r="A20">
        <v>2020</v>
      </c>
      <c r="B20" t="s">
        <v>11</v>
      </c>
      <c r="C20" s="14">
        <v>-0.78</v>
      </c>
      <c r="D20" s="14">
        <v>-1.09</v>
      </c>
      <c r="E20" s="14">
        <v>3.43</v>
      </c>
      <c r="F20" s="14">
        <v>1.36</v>
      </c>
      <c r="G20" s="17">
        <v>3400553</v>
      </c>
      <c r="H20" s="18">
        <v>398457</v>
      </c>
      <c r="I20" s="16">
        <f t="shared" si="0"/>
        <v>0.117174177258816</v>
      </c>
      <c r="J20"/>
    </row>
    <row r="21" spans="1:10">
      <c r="A21">
        <v>2020</v>
      </c>
      <c r="B21" t="s">
        <v>12</v>
      </c>
      <c r="C21" s="14">
        <v>-28.53</v>
      </c>
      <c r="D21" s="14">
        <v>6.66</v>
      </c>
      <c r="E21" s="14">
        <v>2.6</v>
      </c>
      <c r="F21" s="14">
        <v>1.04</v>
      </c>
      <c r="G21" s="17">
        <v>2995935</v>
      </c>
      <c r="H21" s="18">
        <v>294067</v>
      </c>
      <c r="I21" s="16">
        <f t="shared" si="0"/>
        <v>0.0981553338106468</v>
      </c>
      <c r="J21"/>
    </row>
    <row r="22" ht="15.25" spans="1:10">
      <c r="A22">
        <v>2020</v>
      </c>
      <c r="B22" t="s">
        <v>9</v>
      </c>
      <c r="C22" s="14">
        <v>34.21</v>
      </c>
      <c r="D22" s="14">
        <v>17.86</v>
      </c>
      <c r="E22" s="14">
        <v>5.52</v>
      </c>
      <c r="F22" s="14">
        <v>2.24</v>
      </c>
      <c r="G22" s="19">
        <v>4597397</v>
      </c>
      <c r="H22" s="20">
        <v>632328</v>
      </c>
      <c r="I22" s="16">
        <f t="shared" si="0"/>
        <v>0.137540438643867</v>
      </c>
      <c r="J22"/>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D9" sqref="D9"/>
    </sheetView>
  </sheetViews>
  <sheetFormatPr defaultColWidth="9" defaultRowHeight="14.5" outlineLevelRow="6" outlineLevelCol="3"/>
  <sheetData>
    <row r="1" ht="28" spans="1:4">
      <c r="A1" s="11" t="s">
        <v>0</v>
      </c>
      <c r="B1" s="11" t="s">
        <v>13</v>
      </c>
      <c r="C1" s="11" t="s">
        <v>14</v>
      </c>
      <c r="D1" s="12" t="s">
        <v>15</v>
      </c>
    </row>
    <row r="2" spans="1:4">
      <c r="A2" s="13">
        <v>2025</v>
      </c>
      <c r="B2" s="14">
        <v>3.43</v>
      </c>
      <c r="C2" s="14">
        <v>1.69</v>
      </c>
      <c r="D2" s="15">
        <f>SUM(百和年增率!I2)</f>
        <v>0.132767947498363</v>
      </c>
    </row>
    <row r="3" spans="1:4">
      <c r="A3" s="13">
        <v>2024</v>
      </c>
      <c r="B3" s="14">
        <v>10.39</v>
      </c>
      <c r="C3" s="14">
        <v>4.86</v>
      </c>
      <c r="D3" s="16">
        <f>SUM(百和年增率!I3:I6)/4</f>
        <v>0.102921798625933</v>
      </c>
    </row>
    <row r="4" spans="1:4">
      <c r="A4" s="13">
        <v>2023</v>
      </c>
      <c r="B4" s="14">
        <v>1.98</v>
      </c>
      <c r="C4" s="14">
        <v>0.85</v>
      </c>
      <c r="D4" s="16">
        <f>SUM(百和年增率!I7:I10)/4</f>
        <v>0.0191635604473586</v>
      </c>
    </row>
    <row r="5" spans="1:4">
      <c r="A5" s="13">
        <v>2022</v>
      </c>
      <c r="B5" s="14">
        <v>13.05</v>
      </c>
      <c r="C5" s="14">
        <v>5.75</v>
      </c>
      <c r="D5" s="16">
        <f>SUM(百和年增率!I11:I14)/4</f>
        <v>0.100945115699234</v>
      </c>
    </row>
    <row r="6" spans="1:4">
      <c r="A6" s="13">
        <v>2021</v>
      </c>
      <c r="B6" s="14">
        <v>20.93</v>
      </c>
      <c r="C6" s="14">
        <v>8.61</v>
      </c>
      <c r="D6" s="16">
        <f>SUM(百和年增率!I15:I118)/4</f>
        <v>0.263440020166306</v>
      </c>
    </row>
    <row r="7" spans="1:4">
      <c r="A7" s="13">
        <v>2020</v>
      </c>
      <c r="B7" s="14">
        <v>15.45</v>
      </c>
      <c r="C7" s="14">
        <v>6.16</v>
      </c>
      <c r="D7" s="16">
        <f>SUM(百和年增率!I19:I22)/4</f>
        <v>0.120779247436571</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7"/>
  <sheetViews>
    <sheetView workbookViewId="0">
      <selection activeCell="A1" sqref="A1:E47"/>
    </sheetView>
  </sheetViews>
  <sheetFormatPr defaultColWidth="8.72727272727273" defaultRowHeight="14.5" outlineLevelCol="4"/>
  <cols>
    <col min="4" max="4" width="10.2727272727273" customWidth="1"/>
    <col min="5" max="5" width="14.2727272727273" customWidth="1"/>
  </cols>
  <sheetData>
    <row r="1" spans="1:5">
      <c r="A1" s="3" t="s">
        <v>16</v>
      </c>
      <c r="B1" s="1" t="s">
        <v>17</v>
      </c>
      <c r="C1" s="1" t="s">
        <v>18</v>
      </c>
      <c r="D1" s="1" t="s">
        <v>19</v>
      </c>
      <c r="E1" s="1" t="s">
        <v>20</v>
      </c>
    </row>
    <row r="2" spans="1:5">
      <c r="A2" s="3" t="s">
        <v>21</v>
      </c>
      <c r="B2" s="3" t="s">
        <v>22</v>
      </c>
      <c r="C2" s="3" t="s">
        <v>23</v>
      </c>
      <c r="D2" s="4">
        <v>45747</v>
      </c>
      <c r="E2" s="10">
        <v>29735785</v>
      </c>
    </row>
    <row r="3" spans="1:5">
      <c r="A3" s="3" t="s">
        <v>21</v>
      </c>
      <c r="B3" s="3" t="s">
        <v>22</v>
      </c>
      <c r="C3" s="3" t="s">
        <v>24</v>
      </c>
      <c r="D3" s="4">
        <v>45747</v>
      </c>
      <c r="E3" s="5">
        <v>1555026</v>
      </c>
    </row>
    <row r="4" spans="1:5">
      <c r="A4" s="3" t="s">
        <v>21</v>
      </c>
      <c r="B4" s="3" t="s">
        <v>22</v>
      </c>
      <c r="C4" s="3" t="s">
        <v>25</v>
      </c>
      <c r="D4" s="4">
        <v>45747</v>
      </c>
      <c r="E4" s="5">
        <v>24306639</v>
      </c>
    </row>
    <row r="5" spans="1:5">
      <c r="A5" s="3" t="s">
        <v>21</v>
      </c>
      <c r="B5" s="3" t="s">
        <v>22</v>
      </c>
      <c r="C5" s="3" t="s">
        <v>26</v>
      </c>
      <c r="D5" s="4">
        <v>45747</v>
      </c>
      <c r="E5" s="5">
        <v>12727955</v>
      </c>
    </row>
    <row r="6" spans="1:5">
      <c r="A6" s="3" t="s">
        <v>21</v>
      </c>
      <c r="B6" s="3" t="s">
        <v>22</v>
      </c>
      <c r="C6" s="3" t="s">
        <v>27</v>
      </c>
      <c r="D6" s="4">
        <v>45747</v>
      </c>
      <c r="E6" s="7">
        <v>481</v>
      </c>
    </row>
    <row r="7" spans="1:5">
      <c r="A7" s="3" t="s">
        <v>21</v>
      </c>
      <c r="B7" s="3" t="s">
        <v>22</v>
      </c>
      <c r="C7" s="3" t="s">
        <v>28</v>
      </c>
      <c r="D7" s="4">
        <v>45747</v>
      </c>
      <c r="E7" s="5">
        <v>31550519</v>
      </c>
    </row>
    <row r="8" spans="1:5">
      <c r="A8" s="3" t="s">
        <v>21</v>
      </c>
      <c r="B8" s="3" t="s">
        <v>22</v>
      </c>
      <c r="C8" s="3" t="s">
        <v>29</v>
      </c>
      <c r="D8" s="4">
        <v>45747</v>
      </c>
      <c r="E8" s="5">
        <v>8804743</v>
      </c>
    </row>
    <row r="9" spans="1:5">
      <c r="A9" s="3" t="s">
        <v>21</v>
      </c>
      <c r="B9" s="3" t="s">
        <v>22</v>
      </c>
      <c r="C9" s="3" t="s">
        <v>30</v>
      </c>
      <c r="D9" s="4">
        <v>45747</v>
      </c>
      <c r="E9" s="5">
        <v>1097718</v>
      </c>
    </row>
    <row r="10" spans="1:5">
      <c r="A10" s="3" t="s">
        <v>21</v>
      </c>
      <c r="B10" s="3" t="s">
        <v>22</v>
      </c>
      <c r="C10" s="3" t="s">
        <v>31</v>
      </c>
      <c r="D10" s="4">
        <v>45747</v>
      </c>
      <c r="E10" s="5">
        <v>49813833</v>
      </c>
    </row>
    <row r="11" spans="1:5">
      <c r="A11" s="3" t="s">
        <v>21</v>
      </c>
      <c r="B11" s="3" t="s">
        <v>22</v>
      </c>
      <c r="C11" s="3" t="s">
        <v>32</v>
      </c>
      <c r="D11" s="4">
        <v>45747</v>
      </c>
      <c r="E11" s="5">
        <v>3912937</v>
      </c>
    </row>
    <row r="12" spans="1:5">
      <c r="A12" s="3" t="s">
        <v>21</v>
      </c>
      <c r="B12" s="3" t="s">
        <v>22</v>
      </c>
      <c r="C12" s="3" t="s">
        <v>33</v>
      </c>
      <c r="D12" s="4">
        <v>45747</v>
      </c>
      <c r="E12" s="5">
        <v>12550557</v>
      </c>
    </row>
    <row r="13" spans="1:5">
      <c r="A13" s="3" t="s">
        <v>21</v>
      </c>
      <c r="B13" s="3" t="s">
        <v>34</v>
      </c>
      <c r="C13" s="3" t="s">
        <v>35</v>
      </c>
      <c r="D13" s="4">
        <v>45747</v>
      </c>
      <c r="E13" s="5">
        <v>2434435</v>
      </c>
    </row>
    <row r="14" spans="1:5">
      <c r="A14" s="3" t="s">
        <v>21</v>
      </c>
      <c r="B14" s="3" t="s">
        <v>34</v>
      </c>
      <c r="C14" s="3" t="s">
        <v>36</v>
      </c>
      <c r="D14" s="4">
        <v>45747</v>
      </c>
      <c r="E14" s="5">
        <v>743048</v>
      </c>
    </row>
    <row r="15" spans="1:5">
      <c r="A15" s="3" t="s">
        <v>21</v>
      </c>
      <c r="B15" s="3" t="s">
        <v>34</v>
      </c>
      <c r="C15" s="3" t="s">
        <v>37</v>
      </c>
      <c r="D15" s="4">
        <v>45747</v>
      </c>
      <c r="E15" s="5">
        <v>15649177</v>
      </c>
    </row>
    <row r="16" spans="1:5">
      <c r="A16" s="3" t="s">
        <v>21</v>
      </c>
      <c r="B16" s="3" t="s">
        <v>34</v>
      </c>
      <c r="C16" s="3" t="s">
        <v>38</v>
      </c>
      <c r="D16" s="4">
        <v>45747</v>
      </c>
      <c r="E16" s="5">
        <v>68088683</v>
      </c>
    </row>
    <row r="17" spans="1:5">
      <c r="A17" s="3" t="s">
        <v>21</v>
      </c>
      <c r="B17" s="3" t="s">
        <v>34</v>
      </c>
      <c r="C17" s="3" t="s">
        <v>39</v>
      </c>
      <c r="D17" s="4">
        <v>45747</v>
      </c>
      <c r="E17" s="5">
        <v>58652632</v>
      </c>
    </row>
    <row r="18" spans="1:5">
      <c r="A18" s="3" t="s">
        <v>21</v>
      </c>
      <c r="B18" s="3" t="s">
        <v>34</v>
      </c>
      <c r="C18" s="3" t="s">
        <v>40</v>
      </c>
      <c r="D18" s="4">
        <v>45747</v>
      </c>
      <c r="E18" s="5">
        <v>15530828</v>
      </c>
    </row>
    <row r="19" spans="1:5">
      <c r="A19" s="3" t="s">
        <v>21</v>
      </c>
      <c r="B19" s="3" t="s">
        <v>34</v>
      </c>
      <c r="C19" s="3" t="s">
        <v>41</v>
      </c>
      <c r="D19" s="4">
        <v>45747</v>
      </c>
      <c r="E19" s="5">
        <v>6389273</v>
      </c>
    </row>
    <row r="20" spans="1:5">
      <c r="A20" s="3" t="s">
        <v>21</v>
      </c>
      <c r="B20" s="3" t="s">
        <v>34</v>
      </c>
      <c r="C20" s="3" t="s">
        <v>42</v>
      </c>
      <c r="D20" s="4">
        <v>45747</v>
      </c>
      <c r="E20" s="5">
        <v>9038108</v>
      </c>
    </row>
    <row r="21" spans="1:5">
      <c r="A21" s="3" t="s">
        <v>21</v>
      </c>
      <c r="B21" s="3" t="s">
        <v>34</v>
      </c>
      <c r="C21" s="3" t="s">
        <v>43</v>
      </c>
      <c r="D21" s="4">
        <v>45747</v>
      </c>
      <c r="E21" s="5">
        <v>2089466</v>
      </c>
    </row>
    <row r="22" spans="1:5">
      <c r="A22" s="3" t="s">
        <v>21</v>
      </c>
      <c r="B22" s="3" t="s">
        <v>34</v>
      </c>
      <c r="C22" s="3" t="s">
        <v>44</v>
      </c>
      <c r="D22" s="4">
        <v>45747</v>
      </c>
      <c r="E22" s="5">
        <v>5171852</v>
      </c>
    </row>
    <row r="23" spans="1:5">
      <c r="A23" s="3" t="s">
        <v>21</v>
      </c>
      <c r="B23" s="3" t="s">
        <v>34</v>
      </c>
      <c r="C23" s="3" t="s">
        <v>45</v>
      </c>
      <c r="D23" s="4">
        <v>45747</v>
      </c>
      <c r="E23" s="5">
        <v>1537450</v>
      </c>
    </row>
    <row r="24" spans="1:5">
      <c r="A24" s="3" t="s">
        <v>46</v>
      </c>
      <c r="B24" s="3" t="s">
        <v>47</v>
      </c>
      <c r="C24" s="3" t="s">
        <v>48</v>
      </c>
      <c r="D24" s="4">
        <v>45747</v>
      </c>
      <c r="E24" s="10">
        <v>31097446</v>
      </c>
    </row>
    <row r="25" spans="1:5">
      <c r="A25" s="3" t="s">
        <v>46</v>
      </c>
      <c r="B25" s="3" t="s">
        <v>47</v>
      </c>
      <c r="C25" s="3" t="s">
        <v>49</v>
      </c>
      <c r="D25" s="4">
        <v>45747</v>
      </c>
      <c r="E25" s="5">
        <v>1853631</v>
      </c>
    </row>
    <row r="26" spans="1:5">
      <c r="A26" s="3" t="s">
        <v>46</v>
      </c>
      <c r="B26" s="3" t="s">
        <v>47</v>
      </c>
      <c r="C26" s="3" t="s">
        <v>50</v>
      </c>
      <c r="D26" s="4">
        <v>45747</v>
      </c>
      <c r="E26" s="5">
        <v>151913</v>
      </c>
    </row>
    <row r="27" spans="1:5">
      <c r="A27" s="3" t="s">
        <v>46</v>
      </c>
      <c r="B27" s="3" t="s">
        <v>47</v>
      </c>
      <c r="C27" s="3" t="s">
        <v>51</v>
      </c>
      <c r="D27" s="4">
        <v>45747</v>
      </c>
      <c r="E27" s="5">
        <v>1759</v>
      </c>
    </row>
    <row r="28" spans="1:5">
      <c r="A28" s="3" t="s">
        <v>46</v>
      </c>
      <c r="B28" s="3" t="s">
        <v>47</v>
      </c>
      <c r="C28" s="3" t="s">
        <v>52</v>
      </c>
      <c r="D28" s="4">
        <v>45747</v>
      </c>
      <c r="E28" s="5">
        <v>19902815</v>
      </c>
    </row>
    <row r="29" spans="1:5">
      <c r="A29" s="3" t="s">
        <v>46</v>
      </c>
      <c r="B29" s="3" t="s">
        <v>47</v>
      </c>
      <c r="C29" s="3" t="s">
        <v>53</v>
      </c>
      <c r="D29" s="4">
        <v>45747</v>
      </c>
      <c r="E29" s="5">
        <v>17301415</v>
      </c>
    </row>
    <row r="30" spans="1:5">
      <c r="A30" s="3" t="s">
        <v>46</v>
      </c>
      <c r="B30" s="3" t="s">
        <v>47</v>
      </c>
      <c r="C30" s="3" t="s">
        <v>54</v>
      </c>
      <c r="D30" s="4">
        <v>45747</v>
      </c>
      <c r="E30" s="5">
        <v>4523564</v>
      </c>
    </row>
    <row r="31" spans="1:5">
      <c r="A31" s="3" t="s">
        <v>46</v>
      </c>
      <c r="B31" s="3" t="s">
        <v>47</v>
      </c>
      <c r="C31" s="3" t="s">
        <v>55</v>
      </c>
      <c r="D31" s="4">
        <v>45747</v>
      </c>
      <c r="E31" s="5">
        <v>2517861</v>
      </c>
    </row>
    <row r="32" spans="1:5">
      <c r="A32" s="3" t="s">
        <v>46</v>
      </c>
      <c r="B32" s="3" t="s">
        <v>47</v>
      </c>
      <c r="C32" s="3" t="s">
        <v>56</v>
      </c>
      <c r="D32" s="4">
        <v>45747</v>
      </c>
      <c r="E32" s="5">
        <v>7343049</v>
      </c>
    </row>
    <row r="33" spans="1:5">
      <c r="A33" s="3" t="s">
        <v>46</v>
      </c>
      <c r="B33" s="3" t="s">
        <v>47</v>
      </c>
      <c r="C33" s="3" t="s">
        <v>57</v>
      </c>
      <c r="D33" s="4">
        <v>45747</v>
      </c>
      <c r="E33" s="5">
        <v>5400615</v>
      </c>
    </row>
    <row r="34" spans="1:5">
      <c r="A34" s="3" t="s">
        <v>46</v>
      </c>
      <c r="B34" s="3" t="s">
        <v>58</v>
      </c>
      <c r="C34" s="3" t="s">
        <v>59</v>
      </c>
      <c r="D34" s="4">
        <v>45747</v>
      </c>
      <c r="E34" s="5">
        <v>35670827</v>
      </c>
    </row>
    <row r="35" spans="1:5">
      <c r="A35" s="3" t="s">
        <v>46</v>
      </c>
      <c r="B35" s="3" t="s">
        <v>58</v>
      </c>
      <c r="C35" s="3" t="s">
        <v>60</v>
      </c>
      <c r="D35" s="4">
        <v>45747</v>
      </c>
      <c r="E35" s="5">
        <v>2521658</v>
      </c>
    </row>
    <row r="36" spans="1:5">
      <c r="A36" s="3" t="s">
        <v>46</v>
      </c>
      <c r="B36" s="3" t="s">
        <v>58</v>
      </c>
      <c r="C36" s="3" t="s">
        <v>61</v>
      </c>
      <c r="D36" s="4">
        <v>45747</v>
      </c>
      <c r="E36" s="5">
        <v>4429568</v>
      </c>
    </row>
    <row r="37" spans="1:5">
      <c r="A37" s="3" t="s">
        <v>46</v>
      </c>
      <c r="B37" s="3" t="s">
        <v>58</v>
      </c>
      <c r="C37" s="3" t="s">
        <v>62</v>
      </c>
      <c r="D37" s="4">
        <v>45747</v>
      </c>
      <c r="E37" s="5">
        <v>176982</v>
      </c>
    </row>
    <row r="38" spans="1:5">
      <c r="A38" s="3" t="s">
        <v>46</v>
      </c>
      <c r="B38" s="3" t="s">
        <v>58</v>
      </c>
      <c r="C38" s="3" t="s">
        <v>63</v>
      </c>
      <c r="D38" s="4">
        <v>45747</v>
      </c>
      <c r="E38" s="5">
        <v>2849007</v>
      </c>
    </row>
    <row r="39" spans="1:5">
      <c r="A39" s="3" t="s">
        <v>46</v>
      </c>
      <c r="B39" s="3" t="s">
        <v>58</v>
      </c>
      <c r="C39" s="3" t="s">
        <v>64</v>
      </c>
      <c r="D39" s="4">
        <v>45747</v>
      </c>
      <c r="E39" s="5">
        <v>67847</v>
      </c>
    </row>
    <row r="40" spans="1:5">
      <c r="A40" s="3" t="s">
        <v>65</v>
      </c>
      <c r="B40" s="3" t="s">
        <v>66</v>
      </c>
      <c r="C40" s="3" t="s">
        <v>67</v>
      </c>
      <c r="D40" s="4">
        <v>45747</v>
      </c>
      <c r="E40" s="5">
        <v>29467872</v>
      </c>
    </row>
    <row r="41" spans="1:5">
      <c r="A41" s="3" t="s">
        <v>65</v>
      </c>
      <c r="B41" s="3" t="s">
        <v>68</v>
      </c>
      <c r="C41" s="3" t="s">
        <v>68</v>
      </c>
      <c r="D41" s="4">
        <v>45747</v>
      </c>
      <c r="E41" s="5">
        <v>4517841</v>
      </c>
    </row>
    <row r="42" spans="1:5">
      <c r="A42" s="3" t="s">
        <v>65</v>
      </c>
      <c r="B42" s="3" t="s">
        <v>69</v>
      </c>
      <c r="C42" s="3" t="s">
        <v>70</v>
      </c>
      <c r="D42" s="4">
        <v>45747</v>
      </c>
      <c r="E42" s="3"/>
    </row>
    <row r="43" spans="1:5">
      <c r="A43" s="3" t="s">
        <v>65</v>
      </c>
      <c r="B43" s="3" t="s">
        <v>70</v>
      </c>
      <c r="C43" s="3" t="s">
        <v>71</v>
      </c>
      <c r="D43" s="4">
        <v>45747</v>
      </c>
      <c r="E43" s="5">
        <v>20344110</v>
      </c>
    </row>
    <row r="44" spans="1:5">
      <c r="A44" s="3" t="s">
        <v>65</v>
      </c>
      <c r="B44" s="3" t="s">
        <v>70</v>
      </c>
      <c r="C44" s="3" t="s">
        <v>72</v>
      </c>
      <c r="D44" s="4">
        <v>45747</v>
      </c>
      <c r="E44" s="5">
        <v>55117885</v>
      </c>
    </row>
    <row r="45" spans="1:5">
      <c r="A45" s="3" t="s">
        <v>65</v>
      </c>
      <c r="B45" s="3" t="s">
        <v>70</v>
      </c>
      <c r="C45" s="3" t="s">
        <v>73</v>
      </c>
      <c r="D45" s="4">
        <v>45747</v>
      </c>
      <c r="E45" s="5">
        <v>42322723</v>
      </c>
    </row>
    <row r="46" spans="1:5">
      <c r="A46" s="3" t="s">
        <v>65</v>
      </c>
      <c r="B46" s="3" t="s">
        <v>74</v>
      </c>
      <c r="C46" s="3" t="s">
        <v>74</v>
      </c>
      <c r="D46" s="4">
        <v>45747</v>
      </c>
      <c r="E46" s="5">
        <v>-9732447</v>
      </c>
    </row>
    <row r="47" spans="1:5">
      <c r="A47" s="3" t="s">
        <v>65</v>
      </c>
      <c r="B47" s="3" t="s">
        <v>75</v>
      </c>
      <c r="C47" s="3" t="s">
        <v>75</v>
      </c>
      <c r="D47" s="4">
        <v>45747</v>
      </c>
      <c r="E47" s="5">
        <v>83533204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A1" sqref="A1:D13"/>
    </sheetView>
  </sheetViews>
  <sheetFormatPr defaultColWidth="8.72727272727273" defaultRowHeight="14.5" outlineLevelCol="3"/>
  <cols>
    <col min="3" max="3" width="10.2727272727273" customWidth="1"/>
    <col min="4" max="4" width="11.5454545454545" customWidth="1"/>
  </cols>
  <sheetData>
    <row r="1" spans="1:4">
      <c r="A1" s="1" t="s">
        <v>17</v>
      </c>
      <c r="B1" s="1" t="s">
        <v>18</v>
      </c>
      <c r="C1" s="1" t="s">
        <v>19</v>
      </c>
      <c r="D1" s="2" t="s">
        <v>20</v>
      </c>
    </row>
    <row r="2" spans="1:4">
      <c r="A2" s="3" t="s">
        <v>76</v>
      </c>
      <c r="B2" s="3" t="s">
        <v>76</v>
      </c>
      <c r="C2" s="4">
        <v>45747</v>
      </c>
      <c r="D2" s="8">
        <v>67030257</v>
      </c>
    </row>
    <row r="3" spans="1:4">
      <c r="A3" s="3" t="s">
        <v>77</v>
      </c>
      <c r="B3" s="3" t="s">
        <v>77</v>
      </c>
      <c r="C3" s="4">
        <v>45747</v>
      </c>
      <c r="D3" s="8">
        <v>51418086</v>
      </c>
    </row>
    <row r="4" spans="1:4">
      <c r="A4" s="3" t="s">
        <v>78</v>
      </c>
      <c r="B4" s="3" t="s">
        <v>79</v>
      </c>
      <c r="C4" s="4">
        <v>45747</v>
      </c>
      <c r="D4" s="8">
        <v>6809244</v>
      </c>
    </row>
    <row r="5" spans="1:4">
      <c r="A5" s="3" t="s">
        <v>78</v>
      </c>
      <c r="B5" s="3" t="s">
        <v>80</v>
      </c>
      <c r="C5" s="4">
        <v>45747</v>
      </c>
      <c r="D5" s="8">
        <v>4637765</v>
      </c>
    </row>
    <row r="6" spans="1:4">
      <c r="A6" s="3" t="s">
        <v>78</v>
      </c>
      <c r="B6" s="3" t="s">
        <v>81</v>
      </c>
      <c r="C6" s="4">
        <v>45747</v>
      </c>
      <c r="D6" s="8">
        <v>1190804</v>
      </c>
    </row>
    <row r="7" spans="1:4">
      <c r="A7" s="3" t="s">
        <v>78</v>
      </c>
      <c r="B7" s="3" t="s">
        <v>82</v>
      </c>
      <c r="C7" s="4">
        <v>45747</v>
      </c>
      <c r="D7" s="8">
        <v>12637813</v>
      </c>
    </row>
    <row r="8" spans="1:4">
      <c r="A8" s="3" t="s">
        <v>83</v>
      </c>
      <c r="B8" s="3" t="s">
        <v>84</v>
      </c>
      <c r="C8" s="4">
        <v>45747</v>
      </c>
      <c r="D8" s="8">
        <v>471390</v>
      </c>
    </row>
    <row r="9" spans="1:4">
      <c r="A9" s="3" t="s">
        <v>83</v>
      </c>
      <c r="B9" s="3" t="s">
        <v>85</v>
      </c>
      <c r="C9" s="4">
        <v>45747</v>
      </c>
      <c r="D9" s="8">
        <v>601169</v>
      </c>
    </row>
    <row r="10" spans="1:4">
      <c r="A10" s="3" t="s">
        <v>83</v>
      </c>
      <c r="B10" s="3" t="s">
        <v>86</v>
      </c>
      <c r="C10" s="4">
        <v>45747</v>
      </c>
      <c r="D10" s="8">
        <v>195219</v>
      </c>
    </row>
    <row r="11" spans="1:4">
      <c r="A11" s="3" t="s">
        <v>83</v>
      </c>
      <c r="B11" s="3" t="s">
        <v>87</v>
      </c>
      <c r="C11" s="4">
        <v>45747</v>
      </c>
      <c r="D11" s="8">
        <v>-645598</v>
      </c>
    </row>
    <row r="12" spans="1:4">
      <c r="A12" s="3" t="s">
        <v>83</v>
      </c>
      <c r="B12" s="3" t="s">
        <v>88</v>
      </c>
      <c r="C12" s="4">
        <v>45747</v>
      </c>
      <c r="D12" s="8">
        <v>2657410</v>
      </c>
    </row>
    <row r="13" spans="1:4">
      <c r="A13" s="3" t="s">
        <v>89</v>
      </c>
      <c r="B13" s="3" t="s">
        <v>89</v>
      </c>
      <c r="C13" s="4">
        <v>45747</v>
      </c>
      <c r="D13" s="8">
        <v>1217595</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3"/>
  <sheetViews>
    <sheetView tabSelected="1" workbookViewId="0">
      <selection activeCell="D8" sqref="A1:D53"/>
    </sheetView>
  </sheetViews>
  <sheetFormatPr defaultColWidth="8.72727272727273" defaultRowHeight="14.5" outlineLevelCol="3"/>
  <cols>
    <col min="3" max="3" width="10.2727272727273" customWidth="1"/>
    <col min="4" max="4" width="11.5454545454545" customWidth="1"/>
  </cols>
  <sheetData>
    <row r="1" spans="1:4">
      <c r="A1" s="1" t="s">
        <v>17</v>
      </c>
      <c r="B1" s="1" t="s">
        <v>18</v>
      </c>
      <c r="C1" s="1" t="s">
        <v>19</v>
      </c>
      <c r="D1" s="2" t="s">
        <v>20</v>
      </c>
    </row>
    <row r="2" spans="1:4">
      <c r="A2" s="3" t="s">
        <v>90</v>
      </c>
      <c r="B2" s="3" t="s">
        <v>91</v>
      </c>
      <c r="C2" s="4">
        <v>45747</v>
      </c>
      <c r="D2" s="5">
        <v>6253948</v>
      </c>
    </row>
    <row r="3" spans="1:4">
      <c r="A3" s="3" t="s">
        <v>90</v>
      </c>
      <c r="B3" s="3" t="s">
        <v>92</v>
      </c>
      <c r="C3" s="4">
        <v>45747</v>
      </c>
      <c r="D3" s="5">
        <v>3018342</v>
      </c>
    </row>
    <row r="4" spans="1:4">
      <c r="A4" s="3" t="s">
        <v>90</v>
      </c>
      <c r="B4" s="3" t="s">
        <v>93</v>
      </c>
      <c r="C4" s="4">
        <v>45747</v>
      </c>
      <c r="D4" s="5">
        <v>41668</v>
      </c>
    </row>
    <row r="5" spans="1:4">
      <c r="A5" s="3" t="s">
        <v>90</v>
      </c>
      <c r="B5" s="3" t="s">
        <v>94</v>
      </c>
      <c r="C5" s="4">
        <v>45747</v>
      </c>
      <c r="D5" s="5">
        <v>-9770</v>
      </c>
    </row>
    <row r="6" spans="1:4">
      <c r="A6" s="3" t="s">
        <v>90</v>
      </c>
      <c r="B6" s="3" t="s">
        <v>95</v>
      </c>
      <c r="C6" s="4">
        <v>45747</v>
      </c>
      <c r="D6" s="5">
        <v>-66693</v>
      </c>
    </row>
    <row r="7" spans="1:4">
      <c r="A7" s="3" t="s">
        <v>90</v>
      </c>
      <c r="B7" s="3" t="s">
        <v>87</v>
      </c>
      <c r="C7" s="4">
        <v>45747</v>
      </c>
      <c r="D7" s="5">
        <v>645598</v>
      </c>
    </row>
    <row r="8" spans="1:4">
      <c r="A8" s="3" t="s">
        <v>90</v>
      </c>
      <c r="B8" s="3" t="s">
        <v>84</v>
      </c>
      <c r="C8" s="4">
        <v>45747</v>
      </c>
      <c r="D8" s="5">
        <v>-471390</v>
      </c>
    </row>
    <row r="9" spans="1:4">
      <c r="A9" s="3" t="s">
        <v>90</v>
      </c>
      <c r="B9" s="3" t="s">
        <v>96</v>
      </c>
      <c r="C9" s="4">
        <v>45747</v>
      </c>
      <c r="D9" s="5">
        <v>26842</v>
      </c>
    </row>
    <row r="10" spans="1:4">
      <c r="A10" s="3" t="s">
        <v>90</v>
      </c>
      <c r="B10" s="3" t="s">
        <v>97</v>
      </c>
      <c r="C10" s="4">
        <v>45747</v>
      </c>
      <c r="D10" s="5">
        <v>-2657410</v>
      </c>
    </row>
    <row r="11" spans="1:4">
      <c r="A11" s="3" t="s">
        <v>90</v>
      </c>
      <c r="B11" s="3" t="s">
        <v>98</v>
      </c>
      <c r="C11" s="4">
        <v>45747</v>
      </c>
      <c r="D11" s="5">
        <v>10151</v>
      </c>
    </row>
    <row r="12" spans="1:4">
      <c r="A12" s="3" t="s">
        <v>90</v>
      </c>
      <c r="B12" s="3" t="s">
        <v>99</v>
      </c>
      <c r="C12" s="4">
        <v>45747</v>
      </c>
      <c r="D12" s="5">
        <v>-79836</v>
      </c>
    </row>
    <row r="13" spans="1:4">
      <c r="A13" s="3" t="s">
        <v>90</v>
      </c>
      <c r="B13" s="3" t="s">
        <v>100</v>
      </c>
      <c r="C13" s="4">
        <v>45747</v>
      </c>
      <c r="D13" s="5">
        <v>-239746</v>
      </c>
    </row>
    <row r="14" spans="1:4">
      <c r="A14" s="3" t="s">
        <v>90</v>
      </c>
      <c r="B14" s="3" t="s">
        <v>27</v>
      </c>
      <c r="C14" s="4">
        <v>45747</v>
      </c>
      <c r="D14" s="3">
        <v>-41</v>
      </c>
    </row>
    <row r="15" spans="1:4">
      <c r="A15" s="3" t="s">
        <v>90</v>
      </c>
      <c r="B15" s="3" t="s">
        <v>28</v>
      </c>
      <c r="C15" s="4">
        <v>45747</v>
      </c>
      <c r="D15" s="6">
        <v>-738947</v>
      </c>
    </row>
    <row r="16" spans="1:4">
      <c r="A16" s="3" t="s">
        <v>90</v>
      </c>
      <c r="B16" s="3" t="s">
        <v>29</v>
      </c>
      <c r="C16" s="4">
        <v>45747</v>
      </c>
      <c r="D16" s="5">
        <v>347651</v>
      </c>
    </row>
    <row r="17" spans="1:4">
      <c r="A17" s="3" t="s">
        <v>90</v>
      </c>
      <c r="B17" s="3" t="s">
        <v>101</v>
      </c>
      <c r="C17" s="4">
        <v>45747</v>
      </c>
      <c r="D17" s="5">
        <v>-5872257</v>
      </c>
    </row>
    <row r="18" spans="1:4">
      <c r="A18" s="3" t="s">
        <v>90</v>
      </c>
      <c r="B18" s="3" t="s">
        <v>33</v>
      </c>
      <c r="C18" s="4">
        <v>45747</v>
      </c>
      <c r="D18" s="5">
        <v>-921464</v>
      </c>
    </row>
    <row r="19" spans="1:4">
      <c r="A19" s="3" t="s">
        <v>90</v>
      </c>
      <c r="B19" s="3" t="s">
        <v>102</v>
      </c>
      <c r="C19" s="4">
        <v>45747</v>
      </c>
      <c r="D19" s="5">
        <v>8183</v>
      </c>
    </row>
    <row r="20" spans="1:4">
      <c r="A20" s="3" t="s">
        <v>90</v>
      </c>
      <c r="B20" s="3" t="s">
        <v>51</v>
      </c>
      <c r="C20" s="4">
        <v>45747</v>
      </c>
      <c r="D20" s="7">
        <v>555</v>
      </c>
    </row>
    <row r="21" spans="1:4">
      <c r="A21" s="3" t="s">
        <v>90</v>
      </c>
      <c r="B21" s="3" t="s">
        <v>52</v>
      </c>
      <c r="C21" s="4">
        <v>45747</v>
      </c>
      <c r="D21" s="5">
        <v>4070534</v>
      </c>
    </row>
    <row r="22" spans="1:4">
      <c r="A22" s="3" t="s">
        <v>90</v>
      </c>
      <c r="B22" s="3" t="s">
        <v>53</v>
      </c>
      <c r="C22" s="4">
        <v>45747</v>
      </c>
      <c r="D22" s="5">
        <v>-5574579</v>
      </c>
    </row>
    <row r="23" spans="1:4">
      <c r="A23" s="3" t="s">
        <v>90</v>
      </c>
      <c r="B23" s="3" t="s">
        <v>57</v>
      </c>
      <c r="C23" s="4">
        <v>45747</v>
      </c>
      <c r="D23" s="8">
        <v>-327880</v>
      </c>
    </row>
    <row r="24" spans="1:4">
      <c r="A24" s="3" t="s">
        <v>90</v>
      </c>
      <c r="B24" s="3" t="s">
        <v>63</v>
      </c>
      <c r="C24" s="4">
        <v>45747</v>
      </c>
      <c r="D24" s="8">
        <v>-33595</v>
      </c>
    </row>
    <row r="25" spans="1:4">
      <c r="A25" s="3" t="s">
        <v>90</v>
      </c>
      <c r="B25" s="3" t="s">
        <v>103</v>
      </c>
      <c r="C25" s="4">
        <v>45747</v>
      </c>
      <c r="D25" s="9">
        <v>2865</v>
      </c>
    </row>
    <row r="26" spans="1:4">
      <c r="A26" s="3" t="s">
        <v>90</v>
      </c>
      <c r="B26" s="3" t="s">
        <v>104</v>
      </c>
      <c r="C26" s="4">
        <v>45747</v>
      </c>
      <c r="D26" s="8">
        <v>-2567271</v>
      </c>
    </row>
    <row r="27" spans="1:4">
      <c r="A27" s="3" t="s">
        <v>90</v>
      </c>
      <c r="B27" s="3" t="s">
        <v>105</v>
      </c>
      <c r="C27" s="4">
        <v>45747</v>
      </c>
      <c r="D27" s="8">
        <v>-710465</v>
      </c>
    </row>
    <row r="28" spans="1:4">
      <c r="A28" s="3" t="s">
        <v>90</v>
      </c>
      <c r="B28" s="3" t="s">
        <v>106</v>
      </c>
      <c r="C28" s="4">
        <v>45747</v>
      </c>
      <c r="D28" s="8">
        <v>-644317</v>
      </c>
    </row>
    <row r="29" spans="1:4">
      <c r="A29" s="3" t="s">
        <v>90</v>
      </c>
      <c r="B29" s="3" t="s">
        <v>107</v>
      </c>
      <c r="C29" s="4">
        <v>45747</v>
      </c>
      <c r="D29" s="8">
        <v>-3922053</v>
      </c>
    </row>
    <row r="30" spans="1:4">
      <c r="A30" s="3" t="s">
        <v>108</v>
      </c>
      <c r="B30" s="3" t="s">
        <v>109</v>
      </c>
      <c r="C30" s="4">
        <v>45747</v>
      </c>
      <c r="D30" s="9">
        <v>6536</v>
      </c>
    </row>
    <row r="31" spans="1:4">
      <c r="A31" s="3" t="s">
        <v>108</v>
      </c>
      <c r="B31" s="3" t="s">
        <v>110</v>
      </c>
      <c r="C31" s="4">
        <v>45747</v>
      </c>
      <c r="D31" s="8">
        <v>-6255674</v>
      </c>
    </row>
    <row r="32" spans="1:4">
      <c r="A32" s="3" t="s">
        <v>108</v>
      </c>
      <c r="B32" s="3" t="s">
        <v>111</v>
      </c>
      <c r="C32" s="4">
        <v>45747</v>
      </c>
      <c r="D32" s="9">
        <v>3512549</v>
      </c>
    </row>
    <row r="33" spans="1:4">
      <c r="A33" s="3" t="s">
        <v>108</v>
      </c>
      <c r="B33" s="3" t="s">
        <v>112</v>
      </c>
      <c r="C33" s="4">
        <v>45747</v>
      </c>
      <c r="D33" s="9">
        <v>186413</v>
      </c>
    </row>
    <row r="34" spans="1:4">
      <c r="A34" s="3" t="s">
        <v>108</v>
      </c>
      <c r="B34" s="3" t="s">
        <v>113</v>
      </c>
      <c r="C34" s="4">
        <v>45747</v>
      </c>
      <c r="D34" s="8">
        <v>-2117552</v>
      </c>
    </row>
    <row r="35" spans="1:4">
      <c r="A35" s="3" t="s">
        <v>108</v>
      </c>
      <c r="B35" s="3" t="s">
        <v>114</v>
      </c>
      <c r="C35" s="4">
        <v>45747</v>
      </c>
      <c r="D35" s="9">
        <v>165007</v>
      </c>
    </row>
    <row r="36" spans="1:4">
      <c r="A36" s="3" t="s">
        <v>108</v>
      </c>
      <c r="B36" s="3" t="s">
        <v>115</v>
      </c>
      <c r="C36" s="4">
        <v>45747</v>
      </c>
      <c r="D36" s="8">
        <v>-1295</v>
      </c>
    </row>
    <row r="37" spans="1:4">
      <c r="A37" s="3" t="s">
        <v>108</v>
      </c>
      <c r="B37" s="3" t="s">
        <v>116</v>
      </c>
      <c r="C37" s="4">
        <v>45747</v>
      </c>
      <c r="D37" s="8">
        <v>-24518</v>
      </c>
    </row>
    <row r="38" spans="1:4">
      <c r="A38" s="3" t="s">
        <v>108</v>
      </c>
      <c r="B38" s="3" t="s">
        <v>117</v>
      </c>
      <c r="C38" s="4">
        <v>45747</v>
      </c>
      <c r="D38" s="8">
        <v>-5446</v>
      </c>
    </row>
    <row r="39" spans="1:4">
      <c r="A39" s="3" t="s">
        <v>108</v>
      </c>
      <c r="B39" s="3" t="s">
        <v>118</v>
      </c>
      <c r="C39" s="4">
        <v>45747</v>
      </c>
      <c r="D39" s="8">
        <v>-407507</v>
      </c>
    </row>
    <row r="40" spans="1:4">
      <c r="A40" s="3" t="s">
        <v>108</v>
      </c>
      <c r="B40" s="3" t="s">
        <v>119</v>
      </c>
      <c r="C40" s="4">
        <v>45747</v>
      </c>
      <c r="D40" s="9">
        <v>528363</v>
      </c>
    </row>
    <row r="41" spans="1:4">
      <c r="A41" s="3" t="s">
        <v>108</v>
      </c>
      <c r="B41" s="3" t="s">
        <v>120</v>
      </c>
      <c r="C41" s="4">
        <v>45747</v>
      </c>
      <c r="D41" s="8">
        <v>-4413124</v>
      </c>
    </row>
    <row r="42" spans="1:4">
      <c r="A42" s="3" t="s">
        <v>121</v>
      </c>
      <c r="B42" s="3" t="s">
        <v>122</v>
      </c>
      <c r="C42" s="4">
        <v>45747</v>
      </c>
      <c r="D42" s="8">
        <v>5785511</v>
      </c>
    </row>
    <row r="43" spans="1:4">
      <c r="A43" s="3" t="s">
        <v>121</v>
      </c>
      <c r="B43" s="3" t="s">
        <v>123</v>
      </c>
      <c r="C43" s="4">
        <v>45747</v>
      </c>
      <c r="D43" s="8">
        <v>-113800</v>
      </c>
    </row>
    <row r="44" spans="1:4">
      <c r="A44" s="3" t="s">
        <v>121</v>
      </c>
      <c r="B44" s="3" t="s">
        <v>124</v>
      </c>
      <c r="C44" s="4">
        <v>45747</v>
      </c>
      <c r="D44" s="8">
        <v>2276551</v>
      </c>
    </row>
    <row r="45" spans="1:4">
      <c r="A45" s="3" t="s">
        <v>121</v>
      </c>
      <c r="B45" s="3" t="s">
        <v>125</v>
      </c>
      <c r="C45" s="4">
        <v>45747</v>
      </c>
      <c r="D45" s="8">
        <v>857</v>
      </c>
    </row>
    <row r="46" spans="1:4">
      <c r="A46" s="3" t="s">
        <v>121</v>
      </c>
      <c r="B46" s="3" t="s">
        <v>126</v>
      </c>
      <c r="C46" s="4">
        <v>45747</v>
      </c>
      <c r="D46" s="8">
        <v>-789887</v>
      </c>
    </row>
    <row r="47" spans="1:4">
      <c r="A47" s="3" t="s">
        <v>121</v>
      </c>
      <c r="B47" s="3" t="s">
        <v>127</v>
      </c>
      <c r="C47" s="4">
        <v>45747</v>
      </c>
      <c r="D47" s="8">
        <v>-191208</v>
      </c>
    </row>
    <row r="48" spans="1:4">
      <c r="A48" s="3" t="s">
        <v>121</v>
      </c>
      <c r="B48" s="3" t="s">
        <v>128</v>
      </c>
      <c r="C48" s="4">
        <v>45747</v>
      </c>
      <c r="D48" s="8">
        <v>1211</v>
      </c>
    </row>
    <row r="49" spans="1:4">
      <c r="A49" s="3" t="s">
        <v>121</v>
      </c>
      <c r="B49" s="3" t="s">
        <v>129</v>
      </c>
      <c r="C49" s="4">
        <v>45747</v>
      </c>
      <c r="D49" s="8">
        <v>6969235</v>
      </c>
    </row>
    <row r="50" spans="1:4">
      <c r="A50" s="3" t="s">
        <v>121</v>
      </c>
      <c r="B50" s="3" t="s">
        <v>130</v>
      </c>
      <c r="C50" s="4">
        <v>45747</v>
      </c>
      <c r="D50" s="8">
        <v>1174954</v>
      </c>
    </row>
    <row r="51" spans="1:4">
      <c r="A51" s="3" t="s">
        <v>121</v>
      </c>
      <c r="B51" s="3" t="s">
        <v>131</v>
      </c>
      <c r="C51" s="4">
        <v>45747</v>
      </c>
      <c r="D51" s="8">
        <v>-190988</v>
      </c>
    </row>
    <row r="52" spans="1:4">
      <c r="A52" s="3" t="s">
        <v>121</v>
      </c>
      <c r="B52" s="3" t="s">
        <v>132</v>
      </c>
      <c r="C52" s="4">
        <v>45747</v>
      </c>
      <c r="D52" s="8">
        <v>29926773</v>
      </c>
    </row>
    <row r="53" spans="1:4">
      <c r="A53" s="3" t="s">
        <v>121</v>
      </c>
      <c r="B53" s="3" t="s">
        <v>133</v>
      </c>
      <c r="C53" s="4">
        <v>45747</v>
      </c>
      <c r="D53" s="8">
        <v>29735785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寶成年增率</vt:lpstr>
      <vt:lpstr>寶成ROE.ROA</vt:lpstr>
      <vt:lpstr>豐泰企業年增率</vt:lpstr>
      <vt:lpstr>豐泰ROE.ROA</vt:lpstr>
      <vt:lpstr>鈺齊年增率</vt:lpstr>
      <vt:lpstr>鈺齊ROE.ROA</vt:lpstr>
      <vt:lpstr>百和年增率</vt:lpstr>
      <vt:lpstr>百和ROE.ROA</vt:lpstr>
      <vt:lpstr>寶成2025Q1資負</vt:lpstr>
      <vt:lpstr>寶成2025Q1損益</vt:lpstr>
      <vt:lpstr>寶成2025Q1現流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cindy</cp:lastModifiedBy>
  <dcterms:created xsi:type="dcterms:W3CDTF">2015-06-05T18:19:00Z</dcterms:created>
  <dcterms:modified xsi:type="dcterms:W3CDTF">2025-08-05T05:08:56Z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AFF3A570087B4BAE87FEB2B190CDE6BA_12</vt:lpwstr>
  </property>
  <property fmtid="{D5CDD505-2E9C-101B-9397-08002B2CF9AE}" pid="3" name="KSOProductBuildVer">
    <vt:lpwstr>3076-12.2.0.21931</vt:lpwstr>
  </property>
</Properties>
</file>